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Management" sheetId="1" r:id="rId5"/>
    <sheet state="visible" name="Meeting &amp; HourLogs" sheetId="2" r:id="rId6"/>
  </sheets>
  <definedNames/>
  <calcPr/>
</workbook>
</file>

<file path=xl/sharedStrings.xml><?xml version="1.0" encoding="utf-8"?>
<sst xmlns="http://schemas.openxmlformats.org/spreadsheetml/2006/main" count="190" uniqueCount="135">
  <si>
    <t>Actual Hours Log</t>
  </si>
  <si>
    <t>Meeting Notes Log</t>
  </si>
  <si>
    <t>Template: Team Meeting Template</t>
  </si>
  <si>
    <t>Date</t>
  </si>
  <si>
    <t>Contributor</t>
  </si>
  <si>
    <t>Category</t>
  </si>
  <si>
    <t>Hours Logged</t>
  </si>
  <si>
    <t>Task Description</t>
  </si>
  <si>
    <t>Git Evidence</t>
  </si>
  <si>
    <t>Column 1</t>
  </si>
  <si>
    <t>Meeting Title</t>
  </si>
  <si>
    <t>Meeting Notes Link</t>
  </si>
  <si>
    <t>Attendees</t>
  </si>
  <si>
    <t>Duration (hrs)</t>
  </si>
  <si>
    <t>Audrey</t>
  </si>
  <si>
    <t>Project Management</t>
  </si>
  <si>
    <t>Team kickoff meeting with TA &amp; project repository workspace planning</t>
  </si>
  <si>
    <t>docs: initial project workspace roadmap &amp; meeting notes</t>
  </si>
  <si>
    <t>2026-09-10</t>
  </si>
  <si>
    <t>First Team Meeting with TA (1.0 hr)</t>
  </si>
  <si>
    <t>https://docs.google.com/document/d/1S-KSqvwwIgeksEfHW6qrfTxUzulBdwvsc6gFJ_M_BP0/edit?usp=sharing</t>
  </si>
  <si>
    <t>Everyone</t>
  </si>
  <si>
    <t>Alice</t>
  </si>
  <si>
    <t>Architecture &amp; Setup</t>
  </si>
  <si>
    <t>Configured Node environment, Vite build toolchain, and TypeScript compiler options</t>
  </si>
  <si>
    <t>build: setup vite, tsconfig &amp; npm scripts (commit 9a2f1c4)</t>
  </si>
  <si>
    <t>2026-09-14</t>
  </si>
  <si>
    <t>Meeting to Discuss Beginning Implementation and Planning (1.5 hrs)</t>
  </si>
  <si>
    <t>https://docs.google.com/document/d/1Cd2t9ZLg3GvTW0GskIOiDQQ4_XYBvxty_QXzso5MTAQ/edit?usp=sharing</t>
  </si>
  <si>
    <t>Audrey Facer, Heidi Schieber, &amp; Lilly Tran</t>
  </si>
  <si>
    <t>Initialized Git repository, configured branch rules, and defined project directory skeleton</t>
  </si>
  <si>
    <t>chore: initial repo skeleton &amp; gitignore (commit d4e7b1a)</t>
  </si>
  <si>
    <t>Meeting to Discuss Project Management (1.0 hr)</t>
  </si>
  <si>
    <t>https://docs.google.com/document/d/14IqMExp7iZxjezWVzjQ4d8FsJKyb-OEoyftRKtI7gx0/edit?usp=sharing</t>
  </si>
  <si>
    <t>Audrey Facer &amp; Aiman Boullaouz</t>
  </si>
  <si>
    <t>Designed core game types in types.ts and structured state interfaces</t>
  </si>
  <si>
    <t>feat: define Board, CellState &amp; GameStatus models (commit e8c12a4)</t>
  </si>
  <si>
    <t>2026-09-17</t>
  </si>
  <si>
    <t>Second Meeting with TA (1.0 hr)</t>
  </si>
  <si>
    <t>https://docs.google.com/document/d/1pfOkppq5oWuRb4YsPT5QtBxJQhhe2kRM8Na6cTXZPwE/edit?usp=sharing</t>
  </si>
  <si>
    <t>Lilly</t>
  </si>
  <si>
    <t>Development</t>
  </si>
  <si>
    <t>Implemented 10x10 grid model generation and board coordinate matrix algorithms</t>
  </si>
  <si>
    <t>feat: generate 10x10 board structure &amp; 2D coordinates (commit 3b8c10e)</t>
  </si>
  <si>
    <t>Total Meeting Duration</t>
  </si>
  <si>
    <t>Heidi</t>
  </si>
  <si>
    <t>Programmed mine placement logic ensuring first-click safety and neighbor count calculation</t>
  </si>
  <si>
    <t>feat: mine randomizer &amp; neighbor mine proximity counts (commit 1c4e7f9)</t>
  </si>
  <si>
    <t>Implemented recursive flood-fill algorithm for discovering adjacent zero-mine cells</t>
  </si>
  <si>
    <t>feat: recursive cascade reveal for empty tiles (commit 7f4a2d1)</t>
  </si>
  <si>
    <t>Built right-click cell flagging mechanism with flag count tracking and cell toggle state</t>
  </si>
  <si>
    <t>feat: right-click cell flag toggle &amp; remaining counter (commit 8c9d3e2)</t>
  </si>
  <si>
    <t>Aayush</t>
  </si>
  <si>
    <t>UI/UX Design</t>
  </si>
  <si>
    <t>Designed start game screen layout, rules modal, and difficulty selector interface</t>
  </si>
  <si>
    <t>feat: start screen menu &amp; difficulty selector UI (commit 6d3f1a8)</t>
  </si>
  <si>
    <r>
      <rPr>
        <rFont val="Google Sans"/>
        <b/>
        <color theme="1"/>
        <sz val="10.0"/>
      </rPr>
      <t>Fibonacci Estimation Methodology:</t>
    </r>
    <r>
      <rPr>
        <rFont val="Google Sans"/>
        <color theme="1"/>
        <sz val="10.0"/>
      </rPr>
      <t xml:space="preserve"> We used Fibonacci numbers (1, 2, 3) to assign complexity and expected implementation hours to features owned by 2-person pairs. Feature branches followed a strict peer-review and merge-to-main policy with traceable commit evidence.</t>
    </r>
  </si>
  <si>
    <t>Aiman</t>
  </si>
  <si>
    <t>Built modern grid CSS theme, custom tile animations, and responsive canvas layout</t>
  </si>
  <si>
    <t>style: implement responsive grid styles &amp; color theme (commit 4b7e2c9)</t>
  </si>
  <si>
    <t>Project Feature Backlog</t>
  </si>
  <si>
    <t>Project Metric</t>
  </si>
  <si>
    <t>QTY</t>
  </si>
  <si>
    <t>Implemented win/loss condition detectors and triggered board state freeze on game over</t>
  </si>
  <si>
    <t>Pair</t>
  </si>
  <si>
    <t>feat: win validation &amp; board lock handlers (commit 5e1b9f0)</t>
  </si>
  <si>
    <t>Team Members</t>
  </si>
  <si>
    <t>Allocated Points</t>
  </si>
  <si>
    <t>Feature</t>
  </si>
  <si>
    <t>Handled bomb detonation animations and revealed all unexploded mines upon loss</t>
  </si>
  <si>
    <t>feat: game over trigger &amp; reveal all mines on defeat (commit 2a4e8c7)</t>
  </si>
  <si>
    <t>Fibonacci Value</t>
  </si>
  <si>
    <t>Assigned to</t>
  </si>
  <si>
    <t>Status</t>
  </si>
  <si>
    <t>Description</t>
  </si>
  <si>
    <t>Designed interactive game-over modal with play-again button and score elapsed timer</t>
  </si>
  <si>
    <t>feat: game over victory/defeat modal &amp; timer display (commit 9d1a3c5)</t>
  </si>
  <si>
    <t>Total Features</t>
  </si>
  <si>
    <t>Polished typography, audio feedback hooks, and status indicators across game screens</t>
  </si>
  <si>
    <t>style: typography enhancements &amp; status HUD bar (commit 7a8b2c1)</t>
  </si>
  <si>
    <t>Pair 1</t>
  </si>
  <si>
    <t>Alice &amp; Audrey</t>
  </si>
  <si>
    <t>Ibaad</t>
  </si>
  <si>
    <t>Testing &amp; QA</t>
  </si>
  <si>
    <t>Authored Vitest unit tests for mine generator and board boundary index validations</t>
  </si>
  <si>
    <t>test: unit tests for mine allocation &amp; boundary checks (commit 5b3d9e2)</t>
  </si>
  <si>
    <t>Project Initialization &amp; Node Setup</t>
  </si>
  <si>
    <t>Zain</t>
  </si>
  <si>
    <t>Developed test automation suite for click revelation and recursive cascade edge cases</t>
  </si>
  <si>
    <t>test: integration tests for recursive flood-fill (commit 1f8a4b3)</t>
  </si>
  <si>
    <t>Complete</t>
  </si>
  <si>
    <t>feat: init repo, package.json &amp; tsconfig (commit 9a2f1c4)</t>
  </si>
  <si>
    <t>Conducted stress testing on repeated clicking, quick reloads, and bomb detonation paths</t>
  </si>
  <si>
    <t>Total Fib Points</t>
  </si>
  <si>
    <t>test: stress testing script &amp; edge-case crash validation (commit 8f2c6d4)</t>
  </si>
  <si>
    <t>Pair 2</t>
  </si>
  <si>
    <t>Lilly &amp; Heidi</t>
  </si>
  <si>
    <t>Executed complete rubric specification audit, requirement matrix, and bug regressions</t>
  </si>
  <si>
    <t>test: rubric compliance matrix &amp; final regression pass (commit 3c5d7e1)</t>
  </si>
  <si>
    <t>Build 10x10 Grid Board Model</t>
  </si>
  <si>
    <t>Finalized technical documentation, deployment guides, user manual, and team submission</t>
  </si>
  <si>
    <t>docs: finalize architecture doc, README &amp; user guide (commit 0b4e6a8)</t>
  </si>
  <si>
    <t>feat: generate 10x10 grid with boundary checks (commit 3b8c10e)</t>
  </si>
  <si>
    <t>Completed Features</t>
  </si>
  <si>
    <t>Verified cross-browser compatibility, responsive viewport scaling, and final QA sign-off</t>
  </si>
  <si>
    <t>test: cross-browser verification &amp; QA release signoff (commit 4e7d2a9)</t>
  </si>
  <si>
    <t>Pair 3</t>
  </si>
  <si>
    <t>Aayush &amp; Aiman</t>
  </si>
  <si>
    <t>Category Breakdown</t>
  </si>
  <si>
    <t>Hours</t>
  </si>
  <si>
    <t>Contributor Summary</t>
  </si>
  <si>
    <t>Implement Click / Discover Cell Revealing</t>
  </si>
  <si>
    <t>Pair 1 (Alice &amp; Audrey)</t>
  </si>
  <si>
    <t>feat: recursive flood-fill reveal for safe cells (commit 7f4a2d1)</t>
  </si>
  <si>
    <t>Pair 2 (Lilly &amp; Heidi)</t>
  </si>
  <si>
    <t>Progress</t>
  </si>
  <si>
    <t>Pair 3 (Aayush &amp; Aiman)</t>
  </si>
  <si>
    <t>Pair 4</t>
  </si>
  <si>
    <t>Zain &amp; Ibaad</t>
  </si>
  <si>
    <t>Pair 4 (Zain &amp; Ibaad)</t>
  </si>
  <si>
    <t>Implement Flagging Cell Functionality</t>
  </si>
  <si>
    <t>Total Project Hours</t>
  </si>
  <si>
    <t>feat: right-click toggle flag on covered cells (commit 8c9d3e2)</t>
  </si>
  <si>
    <t>Implement Mine Detonation &amp; Game Over Logic</t>
  </si>
  <si>
    <t>feat: bomb detonation trigger &amp; loss condition state (commit 5e1b9f0)</t>
  </si>
  <si>
    <t>Game Over Screen &amp; Win/Loss Modal</t>
  </si>
  <si>
    <t>feat: endgame modal dialog and win/loss banner (commit 2a4e8c7)</t>
  </si>
  <si>
    <t>Start Game Screen &amp; Difficulty Selection</t>
  </si>
  <si>
    <t>feat: launch landing menu &amp; reset game loop (commit 6d3f1a8)</t>
  </si>
  <si>
    <t>UI &amp; Grid Color Theme Styling</t>
  </si>
  <si>
    <t>style: modern dark/light CSS palette &amp; board themes (commit 4b7e2c9)</t>
  </si>
  <si>
    <t>QA &amp; Stress Testing Automation</t>
  </si>
  <si>
    <t>test: edge-case bomb placement &amp; click stress suite (commit 1f8a4b3)</t>
  </si>
  <si>
    <t>Requirements Verification Testing</t>
  </si>
  <si>
    <t>test: verify all rubric specs &amp; game constraints (commit 3c5d7e1)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</si>
</sst>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#,##0.0"/>
    <numFmt numFmtId="166" formatCode="0.0%"/>
  </numFmts>
  <fonts count="12">
    <font>
      <sz val="10.0"/>
      <color rgb="FF000000"/>
      <name val="Arial"/>
      <scheme val="minor"/>
    </font>
    <font>
      <b/>
      <sz val="13.0"/>
      <color rgb="FF1A1B1F"/>
      <name val="Google Sans"/>
    </font>
    <font>
      <color theme="1"/>
      <name val="Arial"/>
      <scheme val="minor"/>
    </font>
    <font>
      <b/>
      <sz val="10.0"/>
      <color theme="1"/>
      <name val="Google Sans"/>
    </font>
    <font>
      <b/>
      <sz val="10.0"/>
      <color rgb="FFFFFFFF"/>
      <name val="Google Sans"/>
    </font>
    <font>
      <b/>
      <color rgb="FFFFFFFF"/>
      <name val="Arial"/>
      <scheme val="minor"/>
    </font>
    <font>
      <sz val="10.0"/>
      <color theme="1"/>
      <name val="Google Sans"/>
    </font>
    <font>
      <sz val="10.0"/>
      <color rgb="FF1155CC"/>
      <name val="Google Sans"/>
    </font>
    <font>
      <u/>
      <sz val="10.0"/>
      <color rgb="FF0000FF"/>
      <name val="Google Sans"/>
    </font>
    <font>
      <b/>
      <color theme="1"/>
      <name val="Arial"/>
      <scheme val="minor"/>
    </font>
    <font>
      <sz val="10.0"/>
      <color rgb="FF1A1B1F"/>
      <name val="Google Sans"/>
    </font>
    <font>
      <b/>
      <sz val="10.0"/>
      <color rgb="FF1A1B1F"/>
      <name val="Google Sans"/>
    </font>
  </fonts>
  <fills count="5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435E91"/>
        <bgColor rgb="FF435E91"/>
      </patternFill>
    </fill>
    <fill>
      <patternFill patternType="solid">
        <fgColor rgb="FFF6F8FB"/>
        <bgColor rgb="FFF6F8FB"/>
      </patternFill>
    </fill>
  </fills>
  <borders count="10">
    <border/>
    <border>
      <left style="thin">
        <color rgb="FFD0D4DD"/>
      </left>
      <right style="thin">
        <color rgb="FFE1E8EF"/>
      </right>
      <top style="thin">
        <color rgb="FFD0D4DD"/>
      </top>
      <bottom style="thin">
        <color rgb="FFE1E8EF"/>
      </bottom>
    </border>
    <border>
      <left style="thin">
        <color rgb="FFE1E8EF"/>
      </left>
      <right style="thin">
        <color rgb="FFD0D4DD"/>
      </right>
      <top style="thin">
        <color rgb="FFD0D4DD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0D4DD"/>
      </top>
      <bottom style="thin">
        <color rgb="FFE1E8EF"/>
      </bottom>
    </border>
    <border>
      <left style="thin">
        <color rgb="FFD0D4DD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D0D4DD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0D4DD"/>
      </left>
      <right style="thin">
        <color rgb="FFE1E8EF"/>
      </right>
      <top style="thin">
        <color rgb="FFE1E8EF"/>
      </top>
      <bottom style="thin">
        <color rgb="FFD0D4DD"/>
      </bottom>
    </border>
    <border>
      <left style="thin">
        <color rgb="FFE1E8EF"/>
      </left>
      <right style="thin">
        <color rgb="FFD0D4DD"/>
      </right>
      <top style="thin">
        <color rgb="FFE1E8EF"/>
      </top>
      <bottom style="thin">
        <color rgb="FFD0D4DD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0D4DD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vertical="center"/>
    </xf>
    <xf borderId="0" fillId="2" fontId="5" numFmtId="0" xfId="0" applyAlignment="1" applyFill="1" applyFont="1">
      <alignment horizontal="right" readingOrder="0"/>
    </xf>
    <xf borderId="0" fillId="0" fontId="6" numFmtId="164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165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shrinkToFit="0" vertical="center" wrapText="0"/>
    </xf>
    <xf borderId="0" fillId="0" fontId="8" numFmtId="0" xfId="0" applyAlignment="1" applyFont="1">
      <alignment horizontal="left" readingOrder="0" shrinkToFit="0" vertical="center" wrapText="0"/>
    </xf>
    <xf borderId="0" fillId="0" fontId="2" numFmtId="165" xfId="0" applyAlignment="1" applyFont="1" applyNumberFormat="1">
      <alignment horizontal="right" readingOrder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9" numFmtId="0" xfId="0" applyAlignment="1" applyFont="1">
      <alignment readingOrder="0"/>
    </xf>
    <xf borderId="0" fillId="0" fontId="9" numFmtId="165" xfId="0" applyAlignment="1" applyFont="1" applyNumberFormat="1">
      <alignment horizontal="right"/>
    </xf>
    <xf borderId="0" fillId="0" fontId="6" numFmtId="164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6" numFmtId="165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right" readingOrder="0" vertical="center"/>
    </xf>
    <xf borderId="0" fillId="0" fontId="4" numFmtId="0" xfId="0" applyAlignment="1" applyFont="1">
      <alignment horizontal="center" readingOrder="0" vertical="center"/>
    </xf>
    <xf borderId="1" fillId="3" fontId="4" numFmtId="0" xfId="0" applyAlignment="1" applyBorder="1" applyFill="1" applyFont="1">
      <alignment horizontal="left" readingOrder="0" vertical="center"/>
    </xf>
    <xf borderId="2" fillId="3" fontId="4" numFmtId="0" xfId="0" applyAlignment="1" applyBorder="1" applyFill="1" applyFont="1">
      <alignment horizontal="right" readingOrder="0" vertical="center"/>
    </xf>
    <xf borderId="1" fillId="3" fontId="4" numFmtId="0" xfId="0" applyAlignment="1" applyBorder="1" applyFill="1" applyFont="1">
      <alignment horizontal="center" readingOrder="0" vertical="center"/>
    </xf>
    <xf borderId="3" fillId="3" fontId="4" numFmtId="0" xfId="0" applyAlignment="1" applyBorder="1" applyFill="1" applyFont="1">
      <alignment horizontal="left" readingOrder="0" vertical="center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righ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4" fillId="0" fontId="10" numFmtId="0" xfId="0" applyAlignment="1" applyBorder="1" applyFont="1">
      <alignment horizontal="left" readingOrder="0" vertical="center"/>
    </xf>
    <xf borderId="5" fillId="0" fontId="11" numFmtId="3" xfId="0" applyAlignment="1" applyBorder="1" applyFont="1" applyNumberFormat="1">
      <alignment horizontal="right" vertical="center"/>
    </xf>
    <xf borderId="4" fillId="0" fontId="10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left" readingOrder="0" vertical="center"/>
    </xf>
    <xf borderId="4" fillId="4" fontId="10" numFmtId="0" xfId="0" applyAlignment="1" applyBorder="1" applyFill="1" applyFont="1">
      <alignment readingOrder="0" shrinkToFit="0" vertical="center" wrapText="1"/>
    </xf>
    <xf borderId="6" fillId="0" fontId="10" numFmtId="3" xfId="0" applyAlignment="1" applyBorder="1" applyFont="1" applyNumberForma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5" fillId="0" fontId="10" numFmtId="0" xfId="0" applyAlignment="1" applyBorder="1" applyFont="1">
      <alignment readingOrder="0" shrinkToFit="0" vertical="center" wrapText="0"/>
    </xf>
    <xf borderId="4" fillId="4" fontId="10" numFmtId="0" xfId="0" applyAlignment="1" applyBorder="1" applyFill="1" applyFont="1">
      <alignment horizontal="center" readingOrder="0" vertical="center"/>
    </xf>
    <xf borderId="6" fillId="4" fontId="10" numFmtId="0" xfId="0" applyAlignment="1" applyBorder="1" applyFill="1" applyFont="1">
      <alignment horizontal="left" readingOrder="0" vertical="center"/>
    </xf>
    <xf borderId="5" fillId="4" fontId="11" numFmtId="3" xfId="0" applyAlignment="1" applyBorder="1" applyFill="1" applyFont="1" applyNumberFormat="1">
      <alignment horizontal="right" vertical="center"/>
    </xf>
    <xf borderId="6" fillId="4" fontId="10" numFmtId="3" xfId="0" applyAlignment="1" applyBorder="1" applyFill="1" applyFont="1" applyNumberFormat="1">
      <alignment readingOrder="0" shrinkToFit="0" vertical="center" wrapText="0"/>
    </xf>
    <xf borderId="6" fillId="4" fontId="10" numFmtId="0" xfId="0" applyAlignment="1" applyBorder="1" applyFill="1" applyFont="1">
      <alignment readingOrder="0" shrinkToFit="0" vertical="center" wrapText="0"/>
    </xf>
    <xf borderId="5" fillId="4" fontId="10" numFmtId="0" xfId="0" applyAlignment="1" applyBorder="1" applyFill="1" applyFont="1">
      <alignment readingOrder="0" shrinkToFit="0" vertical="center" wrapText="0"/>
    </xf>
    <xf borderId="5" fillId="0" fontId="11" numFmtId="3" xfId="0" applyAlignment="1" applyBorder="1" applyFont="1" applyNumberFormat="1">
      <alignment horizontal="right" readingOrder="0" vertical="center"/>
    </xf>
    <xf borderId="0" fillId="2" fontId="5" numFmtId="0" xfId="0" applyAlignment="1" applyFill="1" applyFont="1">
      <alignment readingOrder="0"/>
    </xf>
    <xf borderId="0" fillId="0" fontId="2" numFmtId="165" xfId="0" applyAlignment="1" applyFont="1" applyNumberFormat="1">
      <alignment horizontal="right"/>
    </xf>
    <xf borderId="4" fillId="0" fontId="10" numFmtId="0" xfId="0" applyAlignment="1" applyBorder="1" applyFont="1">
      <alignment readingOrder="0" shrinkToFit="0" vertical="center" wrapText="1"/>
    </xf>
    <xf borderId="7" fillId="0" fontId="10" numFmtId="0" xfId="0" applyAlignment="1" applyBorder="1" applyFont="1">
      <alignment horizontal="left" readingOrder="0" vertical="center"/>
    </xf>
    <xf borderId="8" fillId="0" fontId="11" numFmtId="166" xfId="0" applyAlignment="1" applyBorder="1" applyFont="1" applyNumberFormat="1">
      <alignment horizontal="right" vertical="center"/>
    </xf>
    <xf borderId="7" fillId="4" fontId="10" numFmtId="0" xfId="0" applyAlignment="1" applyBorder="1" applyFill="1" applyFont="1">
      <alignment horizontal="center" readingOrder="0" vertical="center"/>
    </xf>
    <xf borderId="9" fillId="4" fontId="10" numFmtId="0" xfId="0" applyAlignment="1" applyBorder="1" applyFill="1" applyFont="1">
      <alignment horizontal="left" readingOrder="0" vertical="center"/>
    </xf>
    <xf borderId="8" fillId="4" fontId="11" numFmtId="3" xfId="0" applyAlignment="1" applyBorder="1" applyFill="1" applyFont="1" applyNumberFormat="1">
      <alignment horizontal="right" readingOrder="0" vertical="center"/>
    </xf>
    <xf borderId="4" fillId="0" fontId="10" numFmtId="49" xfId="0" applyAlignment="1" applyBorder="1" applyFont="1" applyNumberFormat="1">
      <alignment readingOrder="0" shrinkToFit="0" vertical="center" wrapText="1"/>
    </xf>
    <xf borderId="7" fillId="4" fontId="10" numFmtId="0" xfId="0" applyAlignment="1" applyBorder="1" applyFill="1" applyFont="1">
      <alignment readingOrder="0" shrinkToFit="0" vertical="center" wrapText="1"/>
    </xf>
    <xf borderId="9" fillId="4" fontId="10" numFmtId="3" xfId="0" applyAlignment="1" applyBorder="1" applyFill="1" applyFont="1" applyNumberFormat="1">
      <alignment readingOrder="0" shrinkToFit="0" vertical="center" wrapText="0"/>
    </xf>
    <xf borderId="9" fillId="4" fontId="10" numFmtId="0" xfId="0" applyAlignment="1" applyBorder="1" applyFill="1" applyFont="1">
      <alignment readingOrder="0" shrinkToFit="0" vertical="center" wrapText="0"/>
    </xf>
    <xf borderId="8" fillId="4" fontId="10" numFmtId="0" xfId="0" applyAlignment="1" applyBorder="1" applyFill="1" applyFont="1">
      <alignment readingOrder="0" shrinkToFit="0" vertical="center" wrapText="0"/>
    </xf>
    <xf borderId="0" fillId="4" fontId="10" numFmtId="49" xfId="0" applyAlignment="1" applyFill="1" applyFont="1" applyNumberFormat="1">
      <alignment readingOrder="0" shrinkToFit="0" vertical="center" wrapText="1"/>
    </xf>
    <xf borderId="0" fillId="4" fontId="10" numFmtId="3" xfId="0" applyAlignment="1" applyFill="1" applyFont="1" applyNumberFormat="1">
      <alignment readingOrder="0" shrinkToFit="0" vertical="center" wrapText="0"/>
    </xf>
    <xf borderId="0" fillId="4" fontId="10" numFmtId="0" xfId="0" applyAlignment="1" applyFill="1" applyFont="1">
      <alignment readingOrder="0" shrinkToFit="0" vertical="center" wrapText="0"/>
    </xf>
    <xf borderId="0" fillId="4" fontId="10" numFmtId="49" xfId="0" applyAlignment="1" applyFill="1" applyFont="1" applyNumberFormat="1">
      <alignment readingOrder="0" shrinkToFit="0" vertical="center" wrapText="1"/>
    </xf>
    <xf borderId="0" fillId="4" fontId="10" numFmtId="3" xfId="0" applyAlignment="1" applyFill="1" applyFont="1" applyNumberFormat="1">
      <alignment readingOrder="0" vertical="center"/>
    </xf>
    <xf borderId="0" fillId="4" fontId="10" numFmtId="0" xfId="0" applyAlignment="1" applyFill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Meeting &amp; Hour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eting &amp; Hour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ject Managemen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E14" displayName="FeatureBacklog" name="FeatureBacklog" id="3">
  <tableColumns count="5">
    <tableColumn name="Feature" id="1"/>
    <tableColumn name="Fibonacci Value" id="2"/>
    <tableColumn name="Assigned to" id="3"/>
    <tableColumn name="Status" id="4"/>
    <tableColumn name="Description" id="5"/>
  </tableColumns>
  <tableStyleInfo name="Project Management-style" showColumnStripes="0" showFirstColumn="1" showLastColumn="1" showRowStripes="1"/>
</table>
</file>

<file path=xl/tables/table2.xml><?xml version="1.0" encoding="utf-8"?>
<table xmlns="http://schemas.openxmlformats.org/spreadsheetml/2006/main" ref="A2:F22" displayName="HourLogs" name="HourLogs" id="1">
  <tableColumns count="6">
    <tableColumn name="Date" id="1"/>
    <tableColumn name="Contributor" id="2"/>
    <tableColumn name="Category" id="3"/>
    <tableColumn name="Hours Logged" id="4"/>
    <tableColumn name="Task Description" id="5"/>
    <tableColumn name="Git Evidence" id="6"/>
  </tableColumns>
  <tableStyleInfo name="Meeting &amp; HourLogs-style" showColumnStripes="0" showFirstColumn="1" showLastColumn="1" showRowStripes="1"/>
</table>
</file>

<file path=xl/tables/table3.xml><?xml version="1.0" encoding="utf-8"?>
<table xmlns="http://schemas.openxmlformats.org/spreadsheetml/2006/main" ref="H2:K6" displayName="MeetingNotes" name="MeetingNotes" id="2">
  <tableColumns count="4">
    <tableColumn name="Date" id="1"/>
    <tableColumn name="Meeting Title" id="2"/>
    <tableColumn name="Meeting Notes Link" id="3"/>
    <tableColumn name="Attendees" id="4"/>
  </tableColumns>
  <tableStyleInfo name="Meeting &amp; HourLog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S-KSqvwwIgeksEfHW6qrfTxUzulBdwvsc6gFJ_M_BP0/edit?usp=sharing" TargetMode="External"/><Relationship Id="rId2" Type="http://schemas.openxmlformats.org/officeDocument/2006/relationships/hyperlink" Target="https://docs.google.com/document/d/1Cd2t9ZLg3GvTW0GskIOiDQQ4_XYBvxty_QXzso5MTAQ/edit?usp=sharing" TargetMode="External"/><Relationship Id="rId3" Type="http://schemas.openxmlformats.org/officeDocument/2006/relationships/hyperlink" Target="https://docs.google.com/document/d/14IqMExp7iZxjezWVzjQ4d8FsJKyb-OEoyftRKtI7gx0/edit?usp=sharing" TargetMode="External"/><Relationship Id="rId4" Type="http://schemas.openxmlformats.org/officeDocument/2006/relationships/hyperlink" Target="https://docs.google.com/document/d/1pfOkppq5oWuRb4YsPT5QtBxJQhhe2kRM8Na6cTXZPwE/edit?usp=sharing" TargetMode="External"/><Relationship Id="rId9" Type="http://schemas.openxmlformats.org/officeDocument/2006/relationships/table" Target="../tables/table3.xml"/><Relationship Id="rId5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7.63"/>
    <col customWidth="1" min="3" max="3" width="12.63"/>
    <col customWidth="1" min="4" max="4" width="13.88"/>
    <col customWidth="1" min="5" max="5" width="47.63"/>
    <col customWidth="1" min="6" max="6" width="18.88"/>
    <col customWidth="1" min="7" max="7" width="8.88"/>
    <col customWidth="1" min="8" max="8" width="10.13"/>
    <col customWidth="1" min="9" max="9" width="17.63"/>
    <col customWidth="1" min="10" max="10" width="15.13"/>
  </cols>
  <sheetData>
    <row r="1" ht="33.75" customHeight="1">
      <c r="A1" s="25" t="s">
        <v>56</v>
      </c>
      <c r="E1" s="26"/>
      <c r="F1" s="27"/>
      <c r="G1" s="28"/>
      <c r="H1" s="29"/>
      <c r="I1" s="27"/>
      <c r="J1" s="28"/>
    </row>
    <row r="2" ht="33.75" customHeight="1">
      <c r="E2" s="26"/>
      <c r="F2" s="27"/>
      <c r="G2" s="28"/>
      <c r="H2" s="29"/>
      <c r="I2" s="27"/>
      <c r="J2" s="28"/>
    </row>
    <row r="3" ht="24.0" customHeight="1">
      <c r="A3" s="1" t="s">
        <v>60</v>
      </c>
      <c r="F3" s="30" t="s">
        <v>61</v>
      </c>
      <c r="G3" s="31" t="s">
        <v>62</v>
      </c>
      <c r="H3" s="32" t="s">
        <v>64</v>
      </c>
      <c r="I3" s="33" t="s">
        <v>66</v>
      </c>
      <c r="J3" s="31" t="s">
        <v>67</v>
      </c>
    </row>
    <row r="4" ht="24.0" customHeight="1">
      <c r="A4" s="4" t="s">
        <v>68</v>
      </c>
      <c r="B4" s="37" t="s">
        <v>71</v>
      </c>
      <c r="C4" s="38" t="s">
        <v>72</v>
      </c>
      <c r="D4" s="38" t="s">
        <v>73</v>
      </c>
      <c r="E4" s="5" t="s">
        <v>74</v>
      </c>
      <c r="F4" s="39" t="s">
        <v>77</v>
      </c>
      <c r="G4" s="40">
        <f>COUNTA(A5:A14)</f>
        <v>10</v>
      </c>
      <c r="H4" s="41" t="s">
        <v>80</v>
      </c>
      <c r="I4" s="42" t="s">
        <v>81</v>
      </c>
      <c r="J4" s="40">
        <f t="shared" ref="J4:J7" si="1">SUMIF(C$5:C$14, H4, B$5:B$14)</f>
        <v>3</v>
      </c>
    </row>
    <row r="5" ht="23.25" customHeight="1">
      <c r="A5" s="43" t="s">
        <v>86</v>
      </c>
      <c r="B5" s="44">
        <v>3.0</v>
      </c>
      <c r="C5" s="45" t="s">
        <v>80</v>
      </c>
      <c r="D5" s="46" t="s">
        <v>90</v>
      </c>
      <c r="E5" s="12" t="s">
        <v>91</v>
      </c>
      <c r="F5" s="39" t="s">
        <v>93</v>
      </c>
      <c r="G5" s="40">
        <f>SUM(B5:B14)</f>
        <v>19</v>
      </c>
      <c r="H5" s="47" t="s">
        <v>95</v>
      </c>
      <c r="I5" s="48" t="s">
        <v>96</v>
      </c>
      <c r="J5" s="49">
        <f t="shared" si="1"/>
        <v>8</v>
      </c>
    </row>
    <row r="6" ht="21.0" customHeight="1">
      <c r="A6" s="43" t="s">
        <v>99</v>
      </c>
      <c r="B6" s="50">
        <v>1.0</v>
      </c>
      <c r="C6" s="51" t="s">
        <v>95</v>
      </c>
      <c r="D6" s="52" t="s">
        <v>90</v>
      </c>
      <c r="E6" s="12" t="s">
        <v>102</v>
      </c>
      <c r="F6" s="39" t="s">
        <v>103</v>
      </c>
      <c r="G6" s="53">
        <f>COUNTIF(D5:D14, "Complete")</f>
        <v>10</v>
      </c>
      <c r="H6" s="41" t="s">
        <v>106</v>
      </c>
      <c r="I6" s="42" t="s">
        <v>107</v>
      </c>
      <c r="J6" s="40">
        <f t="shared" si="1"/>
        <v>5</v>
      </c>
    </row>
    <row r="7" ht="21.0" customHeight="1">
      <c r="A7" s="56" t="s">
        <v>111</v>
      </c>
      <c r="B7" s="44">
        <v>3.0</v>
      </c>
      <c r="C7" s="45" t="s">
        <v>95</v>
      </c>
      <c r="D7" s="46" t="s">
        <v>90</v>
      </c>
      <c r="E7" s="12" t="s">
        <v>113</v>
      </c>
      <c r="F7" s="57" t="s">
        <v>115</v>
      </c>
      <c r="G7" s="58">
        <f>IFERROR(G6 / G4, 0)</f>
        <v>1</v>
      </c>
      <c r="H7" s="59" t="s">
        <v>117</v>
      </c>
      <c r="I7" s="60" t="s">
        <v>118</v>
      </c>
      <c r="J7" s="61">
        <f t="shared" si="1"/>
        <v>3</v>
      </c>
    </row>
    <row r="8" ht="21.0" customHeight="1">
      <c r="A8" s="43" t="s">
        <v>120</v>
      </c>
      <c r="B8" s="50">
        <v>1.0</v>
      </c>
      <c r="C8" s="51" t="s">
        <v>95</v>
      </c>
      <c r="D8" s="52" t="s">
        <v>90</v>
      </c>
      <c r="E8" s="12" t="s">
        <v>122</v>
      </c>
    </row>
    <row r="9" ht="21.0" customHeight="1">
      <c r="A9" s="56" t="s">
        <v>123</v>
      </c>
      <c r="B9" s="44">
        <v>3.0</v>
      </c>
      <c r="C9" s="45" t="s">
        <v>95</v>
      </c>
      <c r="D9" s="46" t="s">
        <v>90</v>
      </c>
      <c r="E9" s="12" t="s">
        <v>124</v>
      </c>
    </row>
    <row r="10" ht="21.0" customHeight="1">
      <c r="A10" s="43" t="s">
        <v>125</v>
      </c>
      <c r="B10" s="50">
        <v>1.0</v>
      </c>
      <c r="C10" s="51" t="s">
        <v>106</v>
      </c>
      <c r="D10" s="52" t="s">
        <v>90</v>
      </c>
      <c r="E10" s="12" t="s">
        <v>126</v>
      </c>
    </row>
    <row r="11" ht="21.0" customHeight="1">
      <c r="A11" s="62" t="s">
        <v>127</v>
      </c>
      <c r="B11" s="44">
        <v>2.0</v>
      </c>
      <c r="C11" s="45" t="s">
        <v>106</v>
      </c>
      <c r="D11" s="46" t="s">
        <v>90</v>
      </c>
      <c r="E11" s="12" t="s">
        <v>128</v>
      </c>
    </row>
    <row r="12" ht="21.0" customHeight="1">
      <c r="A12" s="56" t="s">
        <v>129</v>
      </c>
      <c r="B12" s="44">
        <v>2.0</v>
      </c>
      <c r="C12" s="45" t="s">
        <v>106</v>
      </c>
      <c r="D12" s="46" t="s">
        <v>90</v>
      </c>
      <c r="E12" s="12" t="s">
        <v>130</v>
      </c>
    </row>
    <row r="13" ht="22.5" customHeight="1">
      <c r="A13" s="63" t="s">
        <v>131</v>
      </c>
      <c r="B13" s="64">
        <v>2.0</v>
      </c>
      <c r="C13" s="65" t="s">
        <v>117</v>
      </c>
      <c r="D13" s="66" t="s">
        <v>90</v>
      </c>
      <c r="E13" s="12" t="s">
        <v>132</v>
      </c>
    </row>
    <row r="14" ht="22.5" customHeight="1">
      <c r="A14" s="67" t="s">
        <v>133</v>
      </c>
      <c r="B14" s="68">
        <v>1.0</v>
      </c>
      <c r="C14" s="69" t="s">
        <v>117</v>
      </c>
      <c r="D14" s="69" t="s">
        <v>90</v>
      </c>
      <c r="E14" s="12" t="s">
        <v>134</v>
      </c>
    </row>
    <row r="15">
      <c r="A15" s="70"/>
      <c r="B15" s="71"/>
      <c r="C15" s="72"/>
      <c r="D15" s="72"/>
    </row>
  </sheetData>
  <mergeCells count="1">
    <mergeCell ref="A1:D2"/>
  </mergeCells>
  <dataValidations>
    <dataValidation type="custom" allowBlank="1" showDropDown="1" sqref="B5:B14">
      <formula1>AND(ISNUMBER(B5),(NOT(OR(NOT(ISERROR(DATEVALUE(B5))), AND(ISNUMBER(B5), LEFT(CELL("format", B5))="D")))))</formula1>
    </dataValidation>
    <dataValidation type="list" allowBlank="1" showErrorMessage="1" sqref="C5:C14">
      <formula1>"Pair 1,Pair 2,Pair 3,Pair 4"</formula1>
    </dataValidation>
    <dataValidation type="list" allowBlank="1" showErrorMessage="1" sqref="D5:D14">
      <formula1>"Pending,In Progress,Complete"</formula1>
    </dataValidation>
    <dataValidation allowBlank="1" showDropDown="1" sqref="A5:A14"/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88"/>
    <col customWidth="1" min="2" max="2" width="14.5"/>
    <col customWidth="1" min="3" max="3" width="22.0"/>
    <col customWidth="1" min="4" max="4" width="14.5"/>
    <col customWidth="1" min="5" max="6" width="47.63"/>
    <col customWidth="1" min="7" max="7" width="4.5"/>
    <col customWidth="1" min="8" max="8" width="12.0"/>
    <col customWidth="1" min="9" max="9" width="42.63"/>
    <col customWidth="1" min="10" max="11" width="30.13"/>
    <col customWidth="1" min="12" max="12" width="13.88"/>
  </cols>
  <sheetData>
    <row r="1" ht="60.75" customHeight="1">
      <c r="A1" s="1" t="s">
        <v>0</v>
      </c>
      <c r="B1" s="2"/>
      <c r="C1" s="2"/>
      <c r="D1" s="2"/>
      <c r="G1" s="1"/>
      <c r="H1" s="2" t="s">
        <v>1</v>
      </c>
      <c r="I1" s="3"/>
      <c r="J1" s="2" t="s">
        <v>2</v>
      </c>
    </row>
    <row r="2" ht="24.0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5" t="s">
        <v>8</v>
      </c>
      <c r="G2" s="6" t="s">
        <v>9</v>
      </c>
      <c r="H2" s="4" t="s">
        <v>3</v>
      </c>
      <c r="I2" s="4" t="s">
        <v>10</v>
      </c>
      <c r="J2" s="4" t="s">
        <v>11</v>
      </c>
      <c r="K2" s="5" t="s">
        <v>12</v>
      </c>
      <c r="L2" s="7" t="s">
        <v>13</v>
      </c>
    </row>
    <row r="3" ht="21.0" customHeight="1">
      <c r="A3" s="8">
        <v>46275.0</v>
      </c>
      <c r="B3" s="9" t="s">
        <v>14</v>
      </c>
      <c r="C3" s="10" t="s">
        <v>15</v>
      </c>
      <c r="D3" s="11">
        <v>1.5</v>
      </c>
      <c r="E3" s="10" t="s">
        <v>16</v>
      </c>
      <c r="F3" s="12" t="s">
        <v>17</v>
      </c>
      <c r="G3" s="13"/>
      <c r="H3" s="10" t="s">
        <v>18</v>
      </c>
      <c r="I3" s="14" t="s">
        <v>19</v>
      </c>
      <c r="J3" s="15" t="s">
        <v>20</v>
      </c>
      <c r="K3" s="12" t="s">
        <v>21</v>
      </c>
      <c r="L3" s="16">
        <v>1.0</v>
      </c>
    </row>
    <row r="4" ht="21.0" customHeight="1">
      <c r="A4" s="8">
        <v>46276.0</v>
      </c>
      <c r="B4" s="9" t="s">
        <v>22</v>
      </c>
      <c r="C4" s="17" t="s">
        <v>23</v>
      </c>
      <c r="D4" s="11">
        <v>3.0</v>
      </c>
      <c r="E4" s="17" t="s">
        <v>24</v>
      </c>
      <c r="F4" s="12" t="s">
        <v>25</v>
      </c>
      <c r="G4" s="13"/>
      <c r="H4" s="10" t="s">
        <v>26</v>
      </c>
      <c r="I4" s="14" t="s">
        <v>27</v>
      </c>
      <c r="J4" s="15" t="s">
        <v>28</v>
      </c>
      <c r="K4" s="12" t="s">
        <v>29</v>
      </c>
      <c r="L4" s="16">
        <v>1.5</v>
      </c>
    </row>
    <row r="5" ht="21.0" customHeight="1">
      <c r="A5" s="8">
        <v>46277.0</v>
      </c>
      <c r="B5" s="9" t="s">
        <v>14</v>
      </c>
      <c r="C5" s="17" t="s">
        <v>23</v>
      </c>
      <c r="D5" s="11">
        <v>2.0</v>
      </c>
      <c r="E5" s="17" t="s">
        <v>30</v>
      </c>
      <c r="F5" s="12" t="s">
        <v>31</v>
      </c>
      <c r="G5" s="13"/>
      <c r="H5" s="10" t="s">
        <v>26</v>
      </c>
      <c r="I5" s="14" t="s">
        <v>32</v>
      </c>
      <c r="J5" s="15" t="s">
        <v>33</v>
      </c>
      <c r="K5" s="12" t="s">
        <v>34</v>
      </c>
      <c r="L5" s="16">
        <v>1.0</v>
      </c>
    </row>
    <row r="6" ht="21.0" customHeight="1">
      <c r="A6" s="8">
        <v>46278.0</v>
      </c>
      <c r="B6" s="9" t="s">
        <v>22</v>
      </c>
      <c r="C6" s="17" t="s">
        <v>23</v>
      </c>
      <c r="D6" s="11">
        <v>3.0</v>
      </c>
      <c r="E6" s="17" t="s">
        <v>35</v>
      </c>
      <c r="F6" s="12" t="s">
        <v>36</v>
      </c>
      <c r="G6" s="13"/>
      <c r="H6" s="10" t="s">
        <v>37</v>
      </c>
      <c r="I6" s="18" t="s">
        <v>38</v>
      </c>
      <c r="J6" s="15" t="s">
        <v>39</v>
      </c>
      <c r="K6" s="12" t="s">
        <v>21</v>
      </c>
      <c r="L6" s="16">
        <v>1.0</v>
      </c>
    </row>
    <row r="7" ht="22.5" customHeight="1">
      <c r="A7" s="8">
        <v>46279.0</v>
      </c>
      <c r="B7" s="9" t="s">
        <v>40</v>
      </c>
      <c r="C7" s="10" t="s">
        <v>41</v>
      </c>
      <c r="D7" s="11">
        <v>2.5</v>
      </c>
      <c r="E7" s="10" t="s">
        <v>42</v>
      </c>
      <c r="F7" s="12" t="s">
        <v>43</v>
      </c>
      <c r="K7" s="19" t="s">
        <v>44</v>
      </c>
      <c r="L7" s="20">
        <f>SUM(L3:L6)</f>
        <v>4.5</v>
      </c>
    </row>
    <row r="8" ht="22.5" customHeight="1">
      <c r="A8" s="21">
        <v>46279.0</v>
      </c>
      <c r="B8" s="22" t="s">
        <v>45</v>
      </c>
      <c r="C8" s="23" t="s">
        <v>41</v>
      </c>
      <c r="D8" s="24">
        <v>2.5</v>
      </c>
      <c r="E8" s="23" t="s">
        <v>46</v>
      </c>
      <c r="F8" s="12" t="s">
        <v>47</v>
      </c>
    </row>
    <row r="9" ht="22.5" customHeight="1">
      <c r="A9" s="21">
        <v>46280.0</v>
      </c>
      <c r="B9" s="22" t="s">
        <v>40</v>
      </c>
      <c r="C9" s="23" t="s">
        <v>41</v>
      </c>
      <c r="D9" s="24">
        <v>2.0</v>
      </c>
      <c r="E9" s="23" t="s">
        <v>48</v>
      </c>
      <c r="F9" s="12" t="s">
        <v>49</v>
      </c>
    </row>
    <row r="10" ht="22.5" customHeight="1">
      <c r="A10" s="21">
        <v>46280.0</v>
      </c>
      <c r="B10" s="22" t="s">
        <v>45</v>
      </c>
      <c r="C10" s="23" t="s">
        <v>41</v>
      </c>
      <c r="D10" s="24">
        <v>2.0</v>
      </c>
      <c r="E10" s="23" t="s">
        <v>50</v>
      </c>
      <c r="F10" s="12" t="s">
        <v>51</v>
      </c>
    </row>
    <row r="11" ht="22.5" customHeight="1">
      <c r="A11" s="21">
        <v>46281.0</v>
      </c>
      <c r="B11" s="22" t="s">
        <v>52</v>
      </c>
      <c r="C11" s="23" t="s">
        <v>53</v>
      </c>
      <c r="D11" s="24">
        <v>3.0</v>
      </c>
      <c r="E11" s="23" t="s">
        <v>54</v>
      </c>
      <c r="F11" s="12" t="s">
        <v>55</v>
      </c>
    </row>
    <row r="12" ht="22.5" customHeight="1">
      <c r="A12" s="21">
        <v>46281.0</v>
      </c>
      <c r="B12" s="22" t="s">
        <v>57</v>
      </c>
      <c r="C12" s="23" t="s">
        <v>53</v>
      </c>
      <c r="D12" s="24">
        <v>3.0</v>
      </c>
      <c r="E12" s="23" t="s">
        <v>58</v>
      </c>
      <c r="F12" s="12" t="s">
        <v>59</v>
      </c>
    </row>
    <row r="13" ht="22.5" customHeight="1">
      <c r="A13" s="21">
        <v>46282.0</v>
      </c>
      <c r="B13" s="22" t="s">
        <v>40</v>
      </c>
      <c r="C13" s="23" t="s">
        <v>41</v>
      </c>
      <c r="D13" s="24">
        <v>2.0</v>
      </c>
      <c r="E13" s="23" t="s">
        <v>63</v>
      </c>
      <c r="F13" s="12" t="s">
        <v>65</v>
      </c>
    </row>
    <row r="14" ht="22.5" customHeight="1">
      <c r="A14" s="34">
        <v>46282.0</v>
      </c>
      <c r="B14" s="35" t="s">
        <v>45</v>
      </c>
      <c r="C14" s="12" t="s">
        <v>41</v>
      </c>
      <c r="D14" s="36">
        <v>2.0</v>
      </c>
      <c r="E14" s="12" t="s">
        <v>69</v>
      </c>
      <c r="F14" s="12" t="s">
        <v>70</v>
      </c>
    </row>
    <row r="15" ht="22.5" customHeight="1">
      <c r="A15" s="34">
        <v>46283.0</v>
      </c>
      <c r="B15" s="35" t="s">
        <v>57</v>
      </c>
      <c r="C15" s="12" t="s">
        <v>53</v>
      </c>
      <c r="D15" s="36">
        <v>3.0</v>
      </c>
      <c r="E15" s="12" t="s">
        <v>75</v>
      </c>
      <c r="F15" s="12" t="s">
        <v>76</v>
      </c>
    </row>
    <row r="16" ht="22.5" customHeight="1">
      <c r="A16" s="34">
        <v>46283.0</v>
      </c>
      <c r="B16" s="35" t="s">
        <v>52</v>
      </c>
      <c r="C16" s="12" t="s">
        <v>53</v>
      </c>
      <c r="D16" s="36">
        <v>3.0</v>
      </c>
      <c r="E16" s="12" t="s">
        <v>78</v>
      </c>
      <c r="F16" s="12" t="s">
        <v>79</v>
      </c>
    </row>
    <row r="17" ht="22.5" customHeight="1">
      <c r="A17" s="34">
        <v>46284.0</v>
      </c>
      <c r="B17" s="35" t="s">
        <v>82</v>
      </c>
      <c r="C17" s="12" t="s">
        <v>83</v>
      </c>
      <c r="D17" s="36">
        <v>2.0</v>
      </c>
      <c r="E17" s="12" t="s">
        <v>84</v>
      </c>
      <c r="F17" s="12" t="s">
        <v>85</v>
      </c>
    </row>
    <row r="18" ht="22.5" customHeight="1">
      <c r="A18" s="34">
        <v>46284.0</v>
      </c>
      <c r="B18" s="35" t="s">
        <v>87</v>
      </c>
      <c r="C18" s="12" t="s">
        <v>83</v>
      </c>
      <c r="D18" s="36">
        <v>2.5</v>
      </c>
      <c r="E18" s="12" t="s">
        <v>88</v>
      </c>
      <c r="F18" s="12" t="s">
        <v>89</v>
      </c>
    </row>
    <row r="19" ht="22.5" customHeight="1">
      <c r="A19" s="34">
        <v>46285.0</v>
      </c>
      <c r="B19" s="35" t="s">
        <v>82</v>
      </c>
      <c r="C19" s="12" t="s">
        <v>83</v>
      </c>
      <c r="D19" s="36">
        <v>2.0</v>
      </c>
      <c r="E19" s="12" t="s">
        <v>92</v>
      </c>
      <c r="F19" s="12" t="s">
        <v>94</v>
      </c>
    </row>
    <row r="20" ht="22.5" customHeight="1">
      <c r="A20" s="34">
        <v>46285.0</v>
      </c>
      <c r="B20" s="35" t="s">
        <v>87</v>
      </c>
      <c r="C20" s="12" t="s">
        <v>83</v>
      </c>
      <c r="D20" s="36">
        <v>3.0</v>
      </c>
      <c r="E20" s="12" t="s">
        <v>97</v>
      </c>
      <c r="F20" s="12" t="s">
        <v>98</v>
      </c>
    </row>
    <row r="21" ht="22.5" customHeight="1">
      <c r="A21" s="34">
        <v>46285.0</v>
      </c>
      <c r="B21" s="35" t="s">
        <v>14</v>
      </c>
      <c r="C21" s="12" t="s">
        <v>15</v>
      </c>
      <c r="D21" s="36">
        <v>3.0</v>
      </c>
      <c r="E21" s="12" t="s">
        <v>100</v>
      </c>
      <c r="F21" s="12" t="s">
        <v>101</v>
      </c>
    </row>
    <row r="22" ht="22.5" customHeight="1">
      <c r="A22" s="34">
        <v>46285.0</v>
      </c>
      <c r="B22" s="35" t="s">
        <v>82</v>
      </c>
      <c r="C22" s="12" t="s">
        <v>83</v>
      </c>
      <c r="D22" s="36">
        <v>2.0</v>
      </c>
      <c r="E22" s="12" t="s">
        <v>104</v>
      </c>
      <c r="F22" s="12" t="s">
        <v>105</v>
      </c>
    </row>
    <row r="23">
      <c r="A23" s="54" t="s">
        <v>108</v>
      </c>
      <c r="B23" s="54" t="s">
        <v>109</v>
      </c>
      <c r="C23" s="54" t="s">
        <v>110</v>
      </c>
      <c r="D23" s="54" t="s">
        <v>109</v>
      </c>
    </row>
    <row r="24">
      <c r="A24" s="2" t="s">
        <v>23</v>
      </c>
      <c r="B24" s="55">
        <f t="shared" ref="B24:B28" si="1">SUMIF(C$3:C$22, A24, D$3:D$22)</f>
        <v>8</v>
      </c>
      <c r="C24" s="2" t="s">
        <v>112</v>
      </c>
      <c r="D24" s="55">
        <f>SUMIF(B$3:B$22, "Alice", D$3:D$22) + SUMIF(B$3:B$22, "Audrey", D$3:D$22)</f>
        <v>12.5</v>
      </c>
    </row>
    <row r="25">
      <c r="A25" s="2" t="s">
        <v>41</v>
      </c>
      <c r="B25" s="55">
        <f t="shared" si="1"/>
        <v>13</v>
      </c>
      <c r="C25" s="2" t="s">
        <v>114</v>
      </c>
      <c r="D25" s="55">
        <f>SUMIF(B$3:B$22, "Lilly", D$3:D$22) + SUMIF(B$3:B$22, "Heidi", D$3:D$22)</f>
        <v>13</v>
      </c>
    </row>
    <row r="26">
      <c r="A26" s="2" t="s">
        <v>53</v>
      </c>
      <c r="B26" s="55">
        <f t="shared" si="1"/>
        <v>12</v>
      </c>
      <c r="C26" s="2" t="s">
        <v>116</v>
      </c>
      <c r="D26" s="55">
        <f>SUMIF(B$3:B$22, "Aayush", D$3:D$22) + SUMIF(B$3:B$22, "Aiman", D$3:D$22)</f>
        <v>12</v>
      </c>
    </row>
    <row r="27">
      <c r="A27" s="2" t="s">
        <v>83</v>
      </c>
      <c r="B27" s="55">
        <f t="shared" si="1"/>
        <v>11.5</v>
      </c>
      <c r="C27" s="2" t="s">
        <v>119</v>
      </c>
      <c r="D27" s="55">
        <f>SUMIF(B$3:B$22, "Zain", D$3:D$22) + SUMIF(B$3:B$22, "Ibaad", D$3:D$22)</f>
        <v>11.5</v>
      </c>
    </row>
    <row r="28">
      <c r="A28" s="2" t="s">
        <v>15</v>
      </c>
      <c r="B28" s="55">
        <f t="shared" si="1"/>
        <v>4.5</v>
      </c>
      <c r="C28" s="19" t="s">
        <v>121</v>
      </c>
      <c r="D28" s="20">
        <f>SUM(D3:D22)</f>
        <v>49</v>
      </c>
    </row>
  </sheetData>
  <dataValidations>
    <dataValidation type="custom" allowBlank="1" showDropDown="1" sqref="A3:A22">
      <formula1>OR(NOT(ISERROR(DATEVALUE(A3))), AND(ISNUMBER(A3), LEFT(CELL("format", A3))="D"))</formula1>
    </dataValidation>
    <dataValidation type="custom" allowBlank="1" showDropDown="1" sqref="D3:D22">
      <formula1>AND(ISNUMBER(D3),(NOT(OR(NOT(ISERROR(DATEVALUE(D3))), AND(ISNUMBER(D3), LEFT(CELL("format", D3))="D")))))</formula1>
    </dataValidation>
    <dataValidation allowBlank="1" showDropDown="1" sqref="H3:J6 C3:C22 E3:E22"/>
    <dataValidation type="list" allowBlank="1" showErrorMessage="1" sqref="B3:B22">
      <formula1>"Alice,Lilly,Audrey,Heidi,Aayush,Aiman,Zain,Ibaad"</formula1>
    </dataValidation>
  </dataValidations>
  <hyperlinks>
    <hyperlink r:id="rId1" ref="J3"/>
    <hyperlink r:id="rId2" ref="J4"/>
    <hyperlink r:id="rId3" ref="J5"/>
    <hyperlink r:id="rId4" ref="J6"/>
  </hyperlinks>
  <drawing r:id="rId5"/>
  <tableParts count="2">
    <tablePart r:id="rId8"/>
    <tablePart r:id="rId9"/>
  </tableParts>
</worksheet>
</file>
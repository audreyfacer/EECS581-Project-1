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Management" sheetId="1" r:id="rId5"/>
    <sheet state="visible" name="Meeting &amp; HourLogs" sheetId="2" r:id="rId6"/>
    <sheet state="visible" name="System Design" sheetId="3" r:id="rId7"/>
  </sheets>
  <definedNames/>
  <calcPr/>
</workbook>
</file>

<file path=xl/sharedStrings.xml><?xml version="1.0" encoding="utf-8"?>
<sst xmlns="http://schemas.openxmlformats.org/spreadsheetml/2006/main" count="109" uniqueCount="82">
  <si>
    <r>
      <rPr>
        <rFont val="Google Sans"/>
        <b/>
        <color rgb="FF1A1B1F"/>
        <sz val="13.0"/>
      </rPr>
      <t xml:space="preserve">Fibonacci Estimation Methodology: </t>
    </r>
    <r>
      <rPr>
        <rFont val="Google Sans"/>
        <b val="0"/>
        <color rgb="FF1A1B1F"/>
        <sz val="13.0"/>
      </rPr>
      <t>We used fibonacci numbers to assign a complexity value to the features then assigned those features to two team members who would own the definition and implementation of that feature into the game. The fibonacci value of the feature loosely maps to the expected amount of hours expected to complete that feature.</t>
    </r>
  </si>
  <si>
    <t>Actual Hours Log</t>
  </si>
  <si>
    <t>Meeting Notes Log</t>
  </si>
  <si>
    <t>Project Feature Backlog</t>
  </si>
  <si>
    <t>Template: Team Meeting Template</t>
  </si>
  <si>
    <t>Project Metric</t>
  </si>
  <si>
    <t>QTY</t>
  </si>
  <si>
    <t>Pair</t>
  </si>
  <si>
    <t>Team Members</t>
  </si>
  <si>
    <t>Allocated Points</t>
  </si>
  <si>
    <t>Feature</t>
  </si>
  <si>
    <t>Fibonacci Value</t>
  </si>
  <si>
    <t>Assigned to</t>
  </si>
  <si>
    <t>Date</t>
  </si>
  <si>
    <t>Status</t>
  </si>
  <si>
    <t>Total Features</t>
  </si>
  <si>
    <t>Contributor</t>
  </si>
  <si>
    <t>Hours Logged</t>
  </si>
  <si>
    <t>Task Description</t>
  </si>
  <si>
    <t>Pair 1</t>
  </si>
  <si>
    <t>Meeting Title</t>
  </si>
  <si>
    <t>Alice &amp; Audrey</t>
  </si>
  <si>
    <t>Meeting Notes Link</t>
  </si>
  <si>
    <t>Attendees</t>
  </si>
  <si>
    <t>Initiatializing project and setting up node</t>
  </si>
  <si>
    <t>Aiman</t>
  </si>
  <si>
    <t>UI / Color</t>
  </si>
  <si>
    <t>Complete</t>
  </si>
  <si>
    <t xml:space="preserve">Making the site aesthetic </t>
  </si>
  <si>
    <t>Total Fib Points</t>
  </si>
  <si>
    <t>First Team Meeting with TA</t>
  </si>
  <si>
    <t>Pair 2</t>
  </si>
  <si>
    <t>https://docs.google.com/document/d/1S-KSqvwwIgeksEfHW6qrfTxUzulBdwvsc6gFJ_M_BP0/edit?usp=sharing</t>
  </si>
  <si>
    <t>Lilly &amp; Heidi</t>
  </si>
  <si>
    <t>Everyone</t>
  </si>
  <si>
    <t>Build 10x10 Grid</t>
  </si>
  <si>
    <t>Aayush</t>
  </si>
  <si>
    <t>Start Screen</t>
  </si>
  <si>
    <t>Completed Features</t>
  </si>
  <si>
    <t>Pair 3</t>
  </si>
  <si>
    <t>Aayush &amp; Aiman</t>
  </si>
  <si>
    <t>Designing a starting screen</t>
  </si>
  <si>
    <t>Meeting to Discuss Beginning Implementation and Planning</t>
  </si>
  <si>
    <t>https://docs.google.com/document/d/1Cd2t9ZLg3GvTW0GskIOiDQQ4_XYBvxty_QXzso5MTAQ/edit?usp=sharing</t>
  </si>
  <si>
    <t>Implement the click / discover checking</t>
  </si>
  <si>
    <t>Audrey Facer, Heidi Schieber, &amp; Lilly Tran</t>
  </si>
  <si>
    <t>Progress</t>
  </si>
  <si>
    <t>Heidi</t>
  </si>
  <si>
    <t>Game Logic</t>
  </si>
  <si>
    <t>Pair 4</t>
  </si>
  <si>
    <t>Zain &amp; Ibaad</t>
  </si>
  <si>
    <t>Implemented logic for revealing and flagging cells.</t>
  </si>
  <si>
    <t>Meeting to Discuss Project Management</t>
  </si>
  <si>
    <t>https://docs.google.com/document/d/14IqMExp7iZxjezWVzjQ4d8FsJKyb-OEoyftRKtI7gx0/edit?usp=sharing</t>
  </si>
  <si>
    <t>Implement flagging a cell</t>
  </si>
  <si>
    <t>Audrey Facer &amp; Aiman Boullaouz</t>
  </si>
  <si>
    <t>Implement clicking bomb / game over</t>
  </si>
  <si>
    <t>Gameover screen</t>
  </si>
  <si>
    <t>Audrey</t>
  </si>
  <si>
    <t>Project Skeleton</t>
  </si>
  <si>
    <t>Start game screen</t>
  </si>
  <si>
    <t>Initialized github repository, created files, organized project.</t>
  </si>
  <si>
    <t>Second Meeting with TA</t>
  </si>
  <si>
    <t>https://docs.google.com/document/d/1pfOkppq5oWuRb4YsPT5QtBxJQhhe2kRM8Na6cTXZPwE/edit?usp=sharing</t>
  </si>
  <si>
    <t>UI Color</t>
  </si>
  <si>
    <t>Grid Color</t>
  </si>
  <si>
    <t>QA / Stress Testing</t>
  </si>
  <si>
    <t>Documentation</t>
  </si>
  <si>
    <t>Requirments Testing</t>
  </si>
  <si>
    <t>Lilly</t>
  </si>
  <si>
    <t xml:space="preserve">Game Logic </t>
  </si>
  <si>
    <t>Randomly generating mines around the mine and ensuring that the first cell is safe</t>
  </si>
  <si>
    <t xml:space="preserve"> Game Logic </t>
  </si>
  <si>
    <t xml:space="preserve">Checking the status of the board and if the player has won </t>
  </si>
  <si>
    <t>Alice</t>
  </si>
  <si>
    <t>Data Model Infrastructure</t>
  </si>
  <si>
    <t>Helped set up files and made types.ts which sets up the data model of the game.</t>
  </si>
  <si>
    <t>Ibaad</t>
  </si>
  <si>
    <t>QA Testing</t>
  </si>
  <si>
    <t>Created test casses and tested to see if they passed as well as looked over the requirments and checked if it fits witht he game logic</t>
  </si>
  <si>
    <t>Zain</t>
  </si>
  <si>
    <t>Verified product me assignment requirments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</si>
</sst>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0.0"/>
    <numFmt numFmtId="166" formatCode="0.0%"/>
  </numFmts>
  <fonts count="11">
    <font>
      <sz val="10.0"/>
      <color rgb="FF000000"/>
      <name val="Arial"/>
      <scheme val="minor"/>
    </font>
    <font>
      <b/>
      <sz val="13.0"/>
      <color rgb="FF1A1B1F"/>
      <name val="Google Sans"/>
    </font>
    <font>
      <b/>
      <sz val="10.0"/>
      <color rgb="FFFFFFFF"/>
      <name val="Google Sans"/>
    </font>
    <font>
      <color theme="1"/>
      <name val="Arial"/>
      <scheme val="minor"/>
    </font>
    <font>
      <b/>
      <sz val="10.0"/>
      <color theme="1"/>
      <name val="Google Sans"/>
    </font>
    <font>
      <u/>
      <color theme="1"/>
      <name val="Arial"/>
      <scheme val="minor"/>
    </font>
    <font>
      <sz val="10.0"/>
      <color rgb="FF1A1B1F"/>
      <name val="Google Sans"/>
    </font>
    <font>
      <b/>
      <sz val="10.0"/>
      <color rgb="FF1A1B1F"/>
      <name val="Google Sans"/>
    </font>
    <font>
      <sz val="10.0"/>
      <color theme="1"/>
      <name val="Google Sans"/>
    </font>
    <font>
      <u/>
      <sz val="10.0"/>
      <color rgb="FF1155CC"/>
      <name val="Google Sans"/>
    </font>
    <font>
      <u/>
      <sz val="10.0"/>
      <color rgb="FF0000FF"/>
      <name val="Google Sans"/>
    </font>
  </fonts>
  <fills count="4">
    <fill>
      <patternFill patternType="none"/>
    </fill>
    <fill>
      <patternFill patternType="lightGray"/>
    </fill>
    <fill>
      <patternFill patternType="solid">
        <fgColor rgb="FF435E91"/>
        <bgColor rgb="FF435E91"/>
      </patternFill>
    </fill>
    <fill>
      <patternFill patternType="solid">
        <fgColor rgb="FFF6F8FB"/>
        <bgColor rgb="FFF6F8FB"/>
      </patternFill>
    </fill>
  </fills>
  <borders count="10">
    <border/>
    <border>
      <left style="thin">
        <color rgb="FFD0D4DD"/>
      </left>
      <right style="thin">
        <color rgb="FFE1E8EF"/>
      </right>
      <top style="thin">
        <color rgb="FFD0D4DD"/>
      </top>
      <bottom style="thin">
        <color rgb="FFE1E8EF"/>
      </bottom>
    </border>
    <border>
      <left style="thin">
        <color rgb="FFE1E8EF"/>
      </left>
      <right style="thin">
        <color rgb="FFD0D4DD"/>
      </right>
      <top style="thin">
        <color rgb="FFD0D4DD"/>
      </top>
      <bottom style="thin">
        <color rgb="FFE1E8EF"/>
      </bottom>
    </border>
    <border>
      <left style="thin">
        <color rgb="FFE1E8EF"/>
      </left>
      <right style="thin">
        <color rgb="FFE1E8EF"/>
      </right>
      <top style="thin">
        <color rgb="FFD0D4DD"/>
      </top>
      <bottom style="thin">
        <color rgb="FFE1E8EF"/>
      </bottom>
    </border>
    <border>
      <left style="thin">
        <color rgb="FFD0D4DD"/>
      </left>
      <right style="thin">
        <color rgb="FFE1E8EF"/>
      </right>
      <top style="thin">
        <color rgb="FFE1E8EF"/>
      </top>
      <bottom style="thin">
        <color rgb="FFE1E8EF"/>
      </bottom>
    </border>
    <border>
      <left style="thin">
        <color rgb="FFE1E8EF"/>
      </left>
      <right style="thin">
        <color rgb="FFD0D4DD"/>
      </right>
      <top style="thin">
        <color rgb="FFE1E8EF"/>
      </top>
      <bottom style="thin">
        <color rgb="FFE1E8EF"/>
      </bottom>
    </border>
    <border>
      <left style="thin">
        <color rgb="FFE1E8EF"/>
      </left>
      <right style="thin">
        <color rgb="FFE1E8EF"/>
      </right>
      <top style="thin">
        <color rgb="FFE1E8EF"/>
      </top>
      <bottom style="thin">
        <color rgb="FFE1E8EF"/>
      </bottom>
    </border>
    <border>
      <left style="thin">
        <color rgb="FFD0D4DD"/>
      </left>
      <right style="thin">
        <color rgb="FFE1E8EF"/>
      </right>
      <top style="thin">
        <color rgb="FFE1E8EF"/>
      </top>
      <bottom style="thin">
        <color rgb="FFD0D4DD"/>
      </bottom>
    </border>
    <border>
      <left style="thin">
        <color rgb="FFE1E8EF"/>
      </left>
      <right style="thin">
        <color rgb="FFD0D4DD"/>
      </right>
      <top style="thin">
        <color rgb="FFE1E8EF"/>
      </top>
      <bottom style="thin">
        <color rgb="FFD0D4DD"/>
      </bottom>
    </border>
    <border>
      <left style="thin">
        <color rgb="FFE1E8EF"/>
      </left>
      <right style="thin">
        <color rgb="FFE1E8EF"/>
      </right>
      <top style="thin">
        <color rgb="FFE1E8EF"/>
      </top>
      <bottom style="thin">
        <color rgb="FFD0D4DD"/>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readingOrder="0" vertical="center"/>
    </xf>
    <xf borderId="0" fillId="0" fontId="2" numFmtId="0" xfId="0" applyAlignment="1" applyFont="1">
      <alignment horizontal="left" readingOrder="0" vertical="center"/>
    </xf>
    <xf borderId="0" fillId="0" fontId="3" numFmtId="0" xfId="0" applyAlignment="1" applyFont="1">
      <alignment readingOrder="0"/>
    </xf>
    <xf borderId="0" fillId="0" fontId="2" numFmtId="0" xfId="0" applyAlignment="1" applyFont="1">
      <alignment horizontal="right" readingOrder="0" vertical="center"/>
    </xf>
    <xf borderId="0" fillId="0" fontId="2" numFmtId="0" xfId="0" applyAlignment="1" applyFont="1">
      <alignment horizontal="center" readingOrder="0" vertical="center"/>
    </xf>
    <xf borderId="1" fillId="2" fontId="2" numFmtId="0" xfId="0" applyAlignment="1" applyBorder="1" applyFill="1" applyFont="1">
      <alignment horizontal="left" readingOrder="0" vertical="center"/>
    </xf>
    <xf borderId="2" fillId="2" fontId="2" numFmtId="0" xfId="0" applyAlignment="1" applyBorder="1" applyFill="1" applyFont="1">
      <alignment horizontal="right" readingOrder="0" vertical="center"/>
    </xf>
    <xf borderId="1" fillId="2" fontId="2" numFmtId="0" xfId="0" applyAlignment="1" applyBorder="1" applyFill="1" applyFont="1">
      <alignment horizontal="center" readingOrder="0" vertical="center"/>
    </xf>
    <xf borderId="3" fillId="2" fontId="2" numFmtId="0" xfId="0" applyAlignment="1" applyBorder="1" applyFill="1" applyFont="1">
      <alignment horizontal="left" readingOrder="0" vertical="center"/>
    </xf>
    <xf borderId="0" fillId="0" fontId="4" numFmtId="0" xfId="0" applyAlignment="1" applyFont="1">
      <alignment horizontal="left" readingOrder="0" shrinkToFit="0" vertical="center" wrapText="0"/>
    </xf>
    <xf borderId="0" fillId="0" fontId="5" numFmtId="0" xfId="0" applyAlignment="1" applyFont="1">
      <alignment horizontal="center" readingOrder="0" shrinkToFit="0" vertical="center" wrapText="1"/>
    </xf>
    <xf borderId="0" fillId="0" fontId="4" numFmtId="0" xfId="0" applyAlignment="1" applyFont="1">
      <alignment horizontal="right" readingOrder="0" shrinkToFit="0" vertical="center" wrapText="0"/>
    </xf>
    <xf borderId="0" fillId="0" fontId="4" numFmtId="0" xfId="0" applyAlignment="1" applyFont="1">
      <alignment horizontal="center" readingOrder="0" shrinkToFit="0" vertical="center" wrapText="0"/>
    </xf>
    <xf borderId="4" fillId="0" fontId="6" numFmtId="0" xfId="0" applyAlignment="1" applyBorder="1" applyFont="1">
      <alignment horizontal="left" readingOrder="0" vertical="center"/>
    </xf>
    <xf borderId="5" fillId="0" fontId="7" numFmtId="3" xfId="0" applyAlignment="1" applyBorder="1" applyFont="1" applyNumberFormat="1">
      <alignment horizontal="right" vertical="center"/>
    </xf>
    <xf borderId="0" fillId="0" fontId="2" numFmtId="0" xfId="0" applyAlignment="1" applyFont="1">
      <alignment horizontal="left" readingOrder="0" shrinkToFit="0" vertical="center" wrapText="0"/>
    </xf>
    <xf borderId="4" fillId="0" fontId="6" numFmtId="0" xfId="0" applyAlignment="1" applyBorder="1" applyFont="1">
      <alignment horizontal="center" readingOrder="0" vertical="center"/>
    </xf>
    <xf borderId="6" fillId="0" fontId="6" numFmtId="0" xfId="0" applyAlignment="1" applyBorder="1" applyFont="1">
      <alignment horizontal="left" readingOrder="0" vertical="center"/>
    </xf>
    <xf borderId="0" fillId="0" fontId="8" numFmtId="164" xfId="0" applyAlignment="1" applyFont="1" applyNumberFormat="1">
      <alignment horizontal="center" readingOrder="0" shrinkToFit="0" vertical="center" wrapText="0"/>
    </xf>
    <xf borderId="4" fillId="3" fontId="6" numFmtId="0" xfId="0" applyAlignment="1" applyBorder="1" applyFill="1" applyFont="1">
      <alignment readingOrder="0" shrinkToFit="0" vertical="center" wrapText="1"/>
    </xf>
    <xf borderId="0" fillId="0" fontId="8" numFmtId="0" xfId="0" applyAlignment="1" applyFont="1">
      <alignment horizontal="center" readingOrder="0" shrinkToFit="0" vertical="center" wrapText="0"/>
    </xf>
    <xf borderId="6" fillId="0" fontId="6" numFmtId="3" xfId="0" applyAlignment="1" applyBorder="1" applyFont="1" applyNumberFormat="1">
      <alignment readingOrder="0" shrinkToFit="0" vertical="center" wrapText="0"/>
    </xf>
    <xf borderId="0" fillId="0" fontId="8" numFmtId="0" xfId="0" applyAlignment="1" applyFont="1">
      <alignment horizontal="left" readingOrder="0" shrinkToFit="0" vertical="center" wrapText="0"/>
    </xf>
    <xf borderId="6" fillId="0" fontId="6" numFmtId="0" xfId="0" applyAlignment="1" applyBorder="1" applyFont="1">
      <alignment readingOrder="0" shrinkToFit="0" vertical="center" wrapText="0"/>
    </xf>
    <xf borderId="0" fillId="0" fontId="8" numFmtId="165" xfId="0" applyAlignment="1" applyFont="1" applyNumberFormat="1">
      <alignment horizontal="right" readingOrder="0" shrinkToFit="0" vertical="center" wrapText="0"/>
    </xf>
    <xf borderId="5" fillId="0" fontId="6" numFmtId="0" xfId="0" applyAlignment="1" applyBorder="1" applyFont="1">
      <alignment readingOrder="0" shrinkToFit="0" vertical="center" wrapText="0"/>
    </xf>
    <xf borderId="4" fillId="3" fontId="6" numFmtId="0" xfId="0" applyAlignment="1" applyBorder="1" applyFill="1" applyFont="1">
      <alignment horizontal="center" readingOrder="0" vertical="center"/>
    </xf>
    <xf borderId="6" fillId="3" fontId="6" numFmtId="0" xfId="0" applyAlignment="1" applyBorder="1" applyFill="1" applyFont="1">
      <alignment horizontal="left" readingOrder="0" vertical="center"/>
    </xf>
    <xf borderId="5" fillId="3" fontId="7" numFmtId="3" xfId="0" applyAlignment="1" applyBorder="1" applyFill="1" applyFont="1" applyNumberFormat="1">
      <alignment horizontal="right" vertical="center"/>
    </xf>
    <xf borderId="0" fillId="0" fontId="9" numFmtId="49" xfId="0" applyAlignment="1" applyFont="1" applyNumberFormat="1">
      <alignment horizontal="left" readingOrder="0" shrinkToFit="0" vertical="center" wrapText="0"/>
    </xf>
    <xf borderId="6" fillId="3" fontId="6" numFmtId="3" xfId="0" applyAlignment="1" applyBorder="1" applyFill="1" applyFont="1" applyNumberFormat="1">
      <alignment readingOrder="0" shrinkToFit="0" vertical="center" wrapText="0"/>
    </xf>
    <xf borderId="6" fillId="3" fontId="6" numFmtId="0" xfId="0" applyAlignment="1" applyBorder="1" applyFill="1" applyFont="1">
      <alignment readingOrder="0" shrinkToFit="0" vertical="center" wrapText="0"/>
    </xf>
    <xf borderId="5" fillId="3" fontId="6" numFmtId="0" xfId="0" applyAlignment="1" applyBorder="1" applyFill="1" applyFont="1">
      <alignment readingOrder="0" shrinkToFit="0" vertical="center" wrapText="0"/>
    </xf>
    <xf borderId="0" fillId="0" fontId="8" numFmtId="49" xfId="0" applyAlignment="1" applyFont="1" applyNumberFormat="1">
      <alignment horizontal="left" readingOrder="0" shrinkToFit="0" vertical="center" wrapText="0"/>
    </xf>
    <xf borderId="5" fillId="0" fontId="7" numFmtId="3" xfId="0" applyAlignment="1" applyBorder="1" applyFont="1" applyNumberFormat="1">
      <alignment horizontal="right" readingOrder="0" vertical="center"/>
    </xf>
    <xf borderId="4" fillId="0" fontId="6" numFmtId="0" xfId="0" applyAlignment="1" applyBorder="1" applyFont="1">
      <alignment readingOrder="0" shrinkToFit="0" vertical="center" wrapText="1"/>
    </xf>
    <xf borderId="7" fillId="0" fontId="6" numFmtId="0" xfId="0" applyAlignment="1" applyBorder="1" applyFont="1">
      <alignment horizontal="left" readingOrder="0" vertical="center"/>
    </xf>
    <xf borderId="8" fillId="0" fontId="7" numFmtId="166" xfId="0" applyAlignment="1" applyBorder="1" applyFont="1" applyNumberFormat="1">
      <alignment horizontal="right" vertical="center"/>
    </xf>
    <xf borderId="7" fillId="3" fontId="6" numFmtId="0" xfId="0" applyAlignment="1" applyBorder="1" applyFill="1" applyFont="1">
      <alignment horizontal="center" readingOrder="0" vertical="center"/>
    </xf>
    <xf borderId="9" fillId="3" fontId="6" numFmtId="0" xfId="0" applyAlignment="1" applyBorder="1" applyFill="1" applyFont="1">
      <alignment horizontal="left" readingOrder="0" vertical="center"/>
    </xf>
    <xf borderId="8" fillId="3" fontId="7" numFmtId="3" xfId="0" applyAlignment="1" applyBorder="1" applyFill="1" applyFont="1" applyNumberFormat="1">
      <alignment horizontal="right" readingOrder="0" vertical="center"/>
    </xf>
    <xf borderId="4" fillId="0" fontId="6" numFmtId="49" xfId="0" applyAlignment="1" applyBorder="1" applyFont="1" applyNumberFormat="1">
      <alignment readingOrder="0" shrinkToFit="0" vertical="center" wrapText="1"/>
    </xf>
    <xf borderId="0" fillId="0" fontId="10" numFmtId="49" xfId="0" applyAlignment="1" applyFont="1" applyNumberFormat="1">
      <alignment horizontal="left" readingOrder="0" shrinkToFit="0" vertical="center" wrapText="0"/>
    </xf>
    <xf borderId="7" fillId="3" fontId="6" numFmtId="0" xfId="0" applyAlignment="1" applyBorder="1" applyFill="1" applyFont="1">
      <alignment readingOrder="0" shrinkToFit="0" vertical="center" wrapText="1"/>
    </xf>
    <xf borderId="9" fillId="3" fontId="6" numFmtId="3" xfId="0" applyAlignment="1" applyBorder="1" applyFill="1" applyFont="1" applyNumberFormat="1">
      <alignment readingOrder="0" shrinkToFit="0" vertical="center" wrapText="0"/>
    </xf>
    <xf borderId="9" fillId="3" fontId="6" numFmtId="0" xfId="0" applyAlignment="1" applyBorder="1" applyFill="1" applyFont="1">
      <alignment readingOrder="0" shrinkToFit="0" vertical="center" wrapText="0"/>
    </xf>
    <xf borderId="8" fillId="3" fontId="6" numFmtId="0" xfId="0" applyAlignment="1" applyBorder="1" applyFill="1" applyFont="1">
      <alignment readingOrder="0" shrinkToFit="0" vertical="center" wrapText="0"/>
    </xf>
    <xf borderId="0" fillId="3" fontId="6" numFmtId="49" xfId="0" applyAlignment="1" applyFill="1" applyFont="1" applyNumberFormat="1">
      <alignment readingOrder="0" shrinkToFit="0" vertical="center" wrapText="1"/>
    </xf>
    <xf borderId="0" fillId="3" fontId="6" numFmtId="3" xfId="0" applyAlignment="1" applyFill="1" applyFont="1" applyNumberFormat="1">
      <alignment readingOrder="0" shrinkToFit="0" vertical="center" wrapText="0"/>
    </xf>
    <xf borderId="0" fillId="3" fontId="6" numFmtId="0" xfId="0" applyAlignment="1" applyFill="1" applyFont="1">
      <alignment readingOrder="0" shrinkToFit="0" vertical="center" wrapText="0"/>
    </xf>
    <xf borderId="0" fillId="0" fontId="8" numFmtId="164" xfId="0" applyAlignment="1" applyFont="1" applyNumberFormat="1">
      <alignment readingOrder="0" shrinkToFit="0" vertical="center" wrapText="0"/>
    </xf>
    <xf borderId="0" fillId="0" fontId="8" numFmtId="0" xfId="0" applyAlignment="1" applyFont="1">
      <alignment readingOrder="0" shrinkToFit="0" vertical="center" wrapText="0"/>
    </xf>
    <xf borderId="0" fillId="0" fontId="8" numFmtId="49" xfId="0" applyAlignment="1" applyFont="1" applyNumberFormat="1">
      <alignment readingOrder="0" shrinkToFit="0" vertical="center" wrapText="0"/>
    </xf>
    <xf borderId="0" fillId="0" fontId="8" numFmtId="165"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Project Management-style">
      <tableStyleElement dxfId="1" type="headerRow"/>
      <tableStyleElement dxfId="2" type="firstRowStripe"/>
      <tableStyleElement dxfId="3" type="secondRowStripe"/>
      <tableStyleElement dxfId="4" size="0" type="wholeTable"/>
    </tableStyle>
    <tableStyle count="4" pivot="0" name="Meeting &amp; HourLogs-style">
      <tableStyleElement dxfId="1" type="headerRow"/>
      <tableStyleElement dxfId="2" type="firstRowStripe"/>
      <tableStyleElement dxfId="3" type="secondRowStripe"/>
      <tableStyleElement dxfId="4" size="0" type="wholeTable"/>
    </tableStyle>
    <tableStyle count="4" pivot="0" name="Meeting &amp; HourLogs-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76200</xdr:colOff>
      <xdr:row>1</xdr:row>
      <xdr:rowOff>66675</xdr:rowOff>
    </xdr:from>
    <xdr:ext cx="6267450" cy="13144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4:D15" displayName="FeatureBacklog" name="FeatureBacklog" id="1">
  <tableColumns count="4">
    <tableColumn name="Feature" id="1"/>
    <tableColumn name="Fibonacci Value" id="2"/>
    <tableColumn name="Assigned to" id="3"/>
    <tableColumn name="Status" id="4"/>
  </tableColumns>
  <tableStyleInfo name="Project Management-style" showColumnStripes="0" showFirstColumn="1" showLastColumn="1" showRowStripes="1"/>
</table>
</file>

<file path=xl/tables/table2.xml><?xml version="1.0" encoding="utf-8"?>
<table xmlns="http://schemas.openxmlformats.org/spreadsheetml/2006/main" ref="A2:E12" displayName="HourLogs" name="HourLogs" id="2">
  <tableColumns count="5">
    <tableColumn name="Date" id="1"/>
    <tableColumn name="Contributor" id="2"/>
    <tableColumn name="Feature" id="3"/>
    <tableColumn name="Hours Logged" id="4"/>
    <tableColumn name="Task Description" id="5"/>
  </tableColumns>
  <tableStyleInfo name="Meeting &amp; HourLogs-style" showColumnStripes="0" showFirstColumn="1" showLastColumn="1" showRowStripes="1"/>
</table>
</file>

<file path=xl/tables/table3.xml><?xml version="1.0" encoding="utf-8"?>
<table xmlns="http://schemas.openxmlformats.org/spreadsheetml/2006/main" ref="G2:J6" displayName="MeetingNotes" name="MeetingNotes" id="3">
  <tableColumns count="4">
    <tableColumn name="Date" id="1"/>
    <tableColumn name="Meeting Title" id="2"/>
    <tableColumn name="Meeting Notes Link" id="3"/>
    <tableColumn name="Attendees" id="4"/>
  </tableColumns>
  <tableStyleInfo name="Meeting &amp; HourLog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Sdo91_HWpxgjfCDSS_T8MJm7NwRkkvyL7HonItNFKBA/edit?tab=t.0" TargetMode="External"/><Relationship Id="rId2" Type="http://schemas.openxmlformats.org/officeDocument/2006/relationships/hyperlink" Target="https://docs.google.com/document/d/1S-KSqvwwIgeksEfHW6qrfTxUzulBdwvsc6gFJ_M_BP0/edit?usp=sharing" TargetMode="External"/><Relationship Id="rId3" Type="http://schemas.openxmlformats.org/officeDocument/2006/relationships/hyperlink" Target="https://docs.google.com/document/d/1Cd2t9ZLg3GvTW0GskIOiDQQ4_XYBvxty_QXzso5MTAQ/edit?usp=sharing" TargetMode="External"/><Relationship Id="rId4" Type="http://schemas.openxmlformats.org/officeDocument/2006/relationships/hyperlink" Target="https://docs.google.com/document/d/14IqMExp7iZxjezWVzjQ4d8FsJKyb-OEoyftRKtI7gx0/edit?usp=sharing" TargetMode="External"/><Relationship Id="rId10" Type="http://schemas.openxmlformats.org/officeDocument/2006/relationships/table" Target="../tables/table3.xml"/><Relationship Id="rId9" Type="http://schemas.openxmlformats.org/officeDocument/2006/relationships/table" Target="../tables/table2.xml"/><Relationship Id="rId5" Type="http://schemas.openxmlformats.org/officeDocument/2006/relationships/hyperlink" Target="https://docs.google.com/document/d/1pfOkppq5oWuRb4YsPT5QtBxJQhhe2kRM8Na6cTXZPwE/edit?usp=sharing"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13"/>
    <col customWidth="1" min="2" max="2" width="20.25"/>
    <col customWidth="1" min="3" max="3" width="17.38"/>
    <col customWidth="1" min="4" max="4" width="16.38"/>
    <col customWidth="1" min="5" max="5" width="3.88"/>
    <col customWidth="1" min="6" max="6" width="20.13"/>
    <col customWidth="1" min="7" max="8" width="11.38"/>
    <col customWidth="1" min="9" max="9" width="20.13"/>
    <col customWidth="1" min="10" max="10" width="16.38"/>
  </cols>
  <sheetData>
    <row r="1" ht="24.0" customHeight="1">
      <c r="A1" s="1" t="s">
        <v>0</v>
      </c>
      <c r="F1" s="3"/>
      <c r="G1" s="5"/>
      <c r="H1" s="6"/>
      <c r="I1" s="3"/>
      <c r="J1" s="5"/>
    </row>
    <row r="2" ht="42.0" customHeight="1">
      <c r="F2" s="3"/>
      <c r="G2" s="5"/>
      <c r="H2" s="6"/>
      <c r="I2" s="3"/>
      <c r="J2" s="5"/>
    </row>
    <row r="3" ht="24.0" customHeight="1">
      <c r="A3" s="2" t="s">
        <v>3</v>
      </c>
      <c r="F3" s="7" t="s">
        <v>5</v>
      </c>
      <c r="G3" s="8" t="s">
        <v>6</v>
      </c>
      <c r="H3" s="9" t="s">
        <v>7</v>
      </c>
      <c r="I3" s="10" t="s">
        <v>8</v>
      </c>
      <c r="J3" s="8" t="s">
        <v>9</v>
      </c>
    </row>
    <row r="4" ht="24.0" customHeight="1">
      <c r="A4" s="11" t="s">
        <v>10</v>
      </c>
      <c r="B4" s="13" t="s">
        <v>11</v>
      </c>
      <c r="C4" s="14" t="s">
        <v>12</v>
      </c>
      <c r="D4" s="14" t="s">
        <v>14</v>
      </c>
      <c r="F4" s="15" t="s">
        <v>15</v>
      </c>
      <c r="G4" s="16">
        <f>COUNTA(A5:A102)</f>
        <v>11</v>
      </c>
      <c r="H4" s="18" t="s">
        <v>19</v>
      </c>
      <c r="I4" s="19" t="s">
        <v>21</v>
      </c>
      <c r="J4" s="16">
        <f t="shared" ref="J4:J6" si="1">SUMIF(C$5:C$102, H4, B$5:B$102)</f>
        <v>3</v>
      </c>
    </row>
    <row r="5" ht="23.25" customHeight="1">
      <c r="A5" s="21" t="s">
        <v>24</v>
      </c>
      <c r="B5" s="23">
        <v>3.0</v>
      </c>
      <c r="C5" s="25" t="s">
        <v>19</v>
      </c>
      <c r="D5" s="27" t="s">
        <v>27</v>
      </c>
      <c r="F5" s="15" t="s">
        <v>29</v>
      </c>
      <c r="G5" s="16">
        <f>SUM(B5:B102)</f>
        <v>19</v>
      </c>
      <c r="H5" s="28" t="s">
        <v>31</v>
      </c>
      <c r="I5" s="29" t="s">
        <v>33</v>
      </c>
      <c r="J5" s="30">
        <f t="shared" si="1"/>
        <v>8</v>
      </c>
    </row>
    <row r="6" ht="21.0" customHeight="1">
      <c r="A6" s="21" t="s">
        <v>35</v>
      </c>
      <c r="B6" s="32">
        <v>1.0</v>
      </c>
      <c r="C6" s="33" t="s">
        <v>31</v>
      </c>
      <c r="D6" s="34" t="s">
        <v>27</v>
      </c>
      <c r="F6" s="15" t="s">
        <v>38</v>
      </c>
      <c r="G6" s="36">
        <v>11.0</v>
      </c>
      <c r="H6" s="18" t="s">
        <v>39</v>
      </c>
      <c r="I6" s="19" t="s">
        <v>40</v>
      </c>
      <c r="J6" s="16">
        <f t="shared" si="1"/>
        <v>5</v>
      </c>
    </row>
    <row r="7" ht="21.0" customHeight="1">
      <c r="A7" s="37" t="s">
        <v>44</v>
      </c>
      <c r="B7" s="23">
        <v>3.0</v>
      </c>
      <c r="C7" s="25" t="s">
        <v>31</v>
      </c>
      <c r="D7" s="27" t="s">
        <v>27</v>
      </c>
      <c r="F7" s="38" t="s">
        <v>46</v>
      </c>
      <c r="G7" s="39">
        <f>IFERROR(COUNTIF(D5:D102, "Complete") / COUNTA(A5:A102), 0)</f>
        <v>1</v>
      </c>
      <c r="H7" s="40" t="s">
        <v>49</v>
      </c>
      <c r="I7" s="41" t="s">
        <v>50</v>
      </c>
      <c r="J7" s="42">
        <v>3.0</v>
      </c>
    </row>
    <row r="8" ht="21.0" customHeight="1">
      <c r="A8" s="21" t="s">
        <v>54</v>
      </c>
      <c r="B8" s="32">
        <v>1.0</v>
      </c>
      <c r="C8" s="33" t="s">
        <v>31</v>
      </c>
      <c r="D8" s="34" t="s">
        <v>27</v>
      </c>
    </row>
    <row r="9" ht="21.0" customHeight="1">
      <c r="A9" s="37" t="s">
        <v>56</v>
      </c>
      <c r="B9" s="23">
        <v>3.0</v>
      </c>
      <c r="C9" s="25" t="s">
        <v>31</v>
      </c>
      <c r="D9" s="27" t="s">
        <v>27</v>
      </c>
    </row>
    <row r="10" ht="21.0" customHeight="1">
      <c r="A10" s="21" t="s">
        <v>57</v>
      </c>
      <c r="B10" s="32">
        <v>1.0</v>
      </c>
      <c r="C10" s="33" t="s">
        <v>39</v>
      </c>
      <c r="D10" s="34" t="s">
        <v>27</v>
      </c>
    </row>
    <row r="11" ht="21.0" customHeight="1">
      <c r="A11" s="43" t="s">
        <v>60</v>
      </c>
      <c r="B11" s="23">
        <v>2.0</v>
      </c>
      <c r="C11" s="25" t="s">
        <v>39</v>
      </c>
      <c r="D11" s="27" t="s">
        <v>27</v>
      </c>
    </row>
    <row r="12" ht="21.0" customHeight="1">
      <c r="A12" s="37" t="s">
        <v>64</v>
      </c>
      <c r="B12" s="23">
        <v>1.0</v>
      </c>
      <c r="C12" s="25" t="s">
        <v>39</v>
      </c>
      <c r="D12" s="27" t="s">
        <v>27</v>
      </c>
    </row>
    <row r="13" ht="22.5" customHeight="1">
      <c r="A13" s="45" t="s">
        <v>65</v>
      </c>
      <c r="B13" s="46">
        <v>1.0</v>
      </c>
      <c r="C13" s="47" t="s">
        <v>39</v>
      </c>
      <c r="D13" s="48" t="s">
        <v>27</v>
      </c>
    </row>
    <row r="14" ht="22.5" customHeight="1">
      <c r="A14" s="49" t="s">
        <v>66</v>
      </c>
      <c r="B14" s="50">
        <v>2.0</v>
      </c>
      <c r="C14" s="51" t="s">
        <v>49</v>
      </c>
      <c r="D14" s="51" t="s">
        <v>27</v>
      </c>
    </row>
    <row r="15" ht="22.5" customHeight="1">
      <c r="A15" s="49" t="s">
        <v>68</v>
      </c>
      <c r="B15" s="50">
        <v>1.0</v>
      </c>
      <c r="C15" s="51" t="s">
        <v>49</v>
      </c>
      <c r="D15" s="51" t="s">
        <v>27</v>
      </c>
    </row>
  </sheetData>
  <mergeCells count="1">
    <mergeCell ref="A1:D2"/>
  </mergeCells>
  <dataValidations>
    <dataValidation type="custom" allowBlank="1" showDropDown="1" sqref="B5:B15">
      <formula1>AND(ISNUMBER(B5),(NOT(OR(NOT(ISERROR(DATEVALUE(B5))), AND(ISNUMBER(B5), LEFT(CELL("format", B5))="D")))))</formula1>
    </dataValidation>
    <dataValidation type="list" allowBlank="1" showErrorMessage="1" sqref="C5:C15">
      <formula1>"Pair 1,Pair 2,Pair 3,Pair 4"</formula1>
    </dataValidation>
    <dataValidation type="list" allowBlank="1" showErrorMessage="1" sqref="D5:D15">
      <formula1>"Pending,In Progress,Complete"</formula1>
    </dataValidation>
    <dataValidation allowBlank="1" showDropDown="1" sqref="A5:A15"/>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88"/>
    <col customWidth="1" min="2" max="2" width="16.38"/>
    <col customWidth="1" min="3" max="3" width="22.63"/>
    <col customWidth="1" min="4" max="4" width="18.0"/>
    <col customWidth="1" min="5" max="5" width="40.13"/>
    <col customWidth="1" min="6" max="6" width="5.13"/>
    <col customWidth="1" min="7" max="7" width="13.88"/>
    <col customWidth="1" min="8" max="8" width="28.88"/>
    <col customWidth="1" min="9" max="9" width="23.88"/>
    <col customWidth="1" min="10" max="10" width="35.13"/>
  </cols>
  <sheetData>
    <row r="1" ht="60.75" customHeight="1">
      <c r="A1" s="2" t="s">
        <v>1</v>
      </c>
      <c r="B1" s="4"/>
      <c r="C1" s="4"/>
      <c r="D1" s="4"/>
      <c r="G1" s="2" t="s">
        <v>2</v>
      </c>
      <c r="H1" s="4"/>
      <c r="I1" s="12" t="s">
        <v>4</v>
      </c>
    </row>
    <row r="2" ht="24.0" customHeight="1">
      <c r="A2" s="11" t="s">
        <v>13</v>
      </c>
      <c r="B2" s="11" t="s">
        <v>16</v>
      </c>
      <c r="C2" s="11" t="s">
        <v>10</v>
      </c>
      <c r="D2" s="11" t="s">
        <v>17</v>
      </c>
      <c r="E2" s="11" t="s">
        <v>18</v>
      </c>
      <c r="G2" s="17" t="s">
        <v>13</v>
      </c>
      <c r="H2" s="17" t="s">
        <v>20</v>
      </c>
      <c r="I2" s="17" t="s">
        <v>22</v>
      </c>
      <c r="J2" s="17" t="s">
        <v>23</v>
      </c>
    </row>
    <row r="3" ht="21.0" customHeight="1">
      <c r="A3" s="20">
        <v>46281.0</v>
      </c>
      <c r="B3" s="22" t="s">
        <v>25</v>
      </c>
      <c r="C3" s="24" t="s">
        <v>26</v>
      </c>
      <c r="D3" s="26">
        <v>1.5</v>
      </c>
      <c r="E3" s="24" t="s">
        <v>28</v>
      </c>
      <c r="G3" s="20">
        <v>46275.0</v>
      </c>
      <c r="H3" s="24" t="s">
        <v>30</v>
      </c>
      <c r="I3" s="31" t="s">
        <v>32</v>
      </c>
      <c r="J3" s="24" t="s">
        <v>34</v>
      </c>
    </row>
    <row r="4" ht="21.0" customHeight="1">
      <c r="A4" s="20">
        <v>46281.0</v>
      </c>
      <c r="B4" s="22" t="s">
        <v>36</v>
      </c>
      <c r="C4" s="35" t="s">
        <v>37</v>
      </c>
      <c r="D4" s="26">
        <v>1.5</v>
      </c>
      <c r="E4" s="35" t="s">
        <v>41</v>
      </c>
      <c r="G4" s="20">
        <v>46279.0</v>
      </c>
      <c r="H4" s="24" t="s">
        <v>42</v>
      </c>
      <c r="I4" s="31" t="s">
        <v>43</v>
      </c>
      <c r="J4" s="24" t="s">
        <v>45</v>
      </c>
    </row>
    <row r="5" ht="21.0" customHeight="1">
      <c r="A5" s="20">
        <v>46280.0</v>
      </c>
      <c r="B5" s="22" t="s">
        <v>47</v>
      </c>
      <c r="C5" s="35" t="s">
        <v>48</v>
      </c>
      <c r="D5" s="26">
        <v>2.0</v>
      </c>
      <c r="E5" s="35" t="s">
        <v>51</v>
      </c>
      <c r="G5" s="20">
        <v>46279.0</v>
      </c>
      <c r="H5" s="24" t="s">
        <v>52</v>
      </c>
      <c r="I5" s="31" t="s">
        <v>53</v>
      </c>
      <c r="J5" s="24" t="s">
        <v>55</v>
      </c>
    </row>
    <row r="6" ht="21.0" customHeight="1">
      <c r="A6" s="20">
        <v>46279.0</v>
      </c>
      <c r="B6" s="22" t="s">
        <v>58</v>
      </c>
      <c r="C6" s="35" t="s">
        <v>59</v>
      </c>
      <c r="D6" s="26">
        <v>1.0</v>
      </c>
      <c r="E6" s="35" t="s">
        <v>61</v>
      </c>
      <c r="G6" s="20">
        <v>46282.0</v>
      </c>
      <c r="H6" s="24" t="s">
        <v>62</v>
      </c>
      <c r="I6" s="44" t="s">
        <v>63</v>
      </c>
      <c r="J6" s="24" t="s">
        <v>34</v>
      </c>
    </row>
    <row r="7" ht="22.5" customHeight="1">
      <c r="A7" s="20"/>
      <c r="B7" s="22" t="s">
        <v>58</v>
      </c>
      <c r="C7" s="24" t="s">
        <v>67</v>
      </c>
      <c r="D7" s="26">
        <v>2.0</v>
      </c>
      <c r="E7" s="24"/>
    </row>
    <row r="8" ht="22.5" customHeight="1">
      <c r="A8" s="52">
        <v>46280.0</v>
      </c>
      <c r="B8" s="53" t="s">
        <v>69</v>
      </c>
      <c r="C8" s="54" t="s">
        <v>70</v>
      </c>
      <c r="D8" s="55">
        <v>2.0</v>
      </c>
      <c r="E8" s="54" t="s">
        <v>71</v>
      </c>
    </row>
    <row r="9" ht="22.5" customHeight="1">
      <c r="A9" s="52">
        <v>46281.0</v>
      </c>
      <c r="B9" s="53" t="s">
        <v>69</v>
      </c>
      <c r="C9" s="54" t="s">
        <v>72</v>
      </c>
      <c r="D9" s="55">
        <v>1.0</v>
      </c>
      <c r="E9" s="54" t="s">
        <v>73</v>
      </c>
    </row>
    <row r="10" ht="22.5" customHeight="1">
      <c r="A10" s="52">
        <v>46279.0</v>
      </c>
      <c r="B10" s="53" t="s">
        <v>74</v>
      </c>
      <c r="C10" s="54" t="s">
        <v>75</v>
      </c>
      <c r="D10" s="55">
        <v>3.0</v>
      </c>
      <c r="E10" s="54" t="s">
        <v>76</v>
      </c>
    </row>
    <row r="11" ht="22.5" customHeight="1">
      <c r="A11" s="52">
        <v>46285.0</v>
      </c>
      <c r="B11" s="53" t="s">
        <v>77</v>
      </c>
      <c r="C11" s="54" t="s">
        <v>78</v>
      </c>
      <c r="D11" s="55">
        <v>2.0</v>
      </c>
      <c r="E11" s="54" t="s">
        <v>79</v>
      </c>
    </row>
    <row r="12" ht="22.5" customHeight="1">
      <c r="A12" s="52">
        <v>46285.0</v>
      </c>
      <c r="B12" s="53" t="s">
        <v>80</v>
      </c>
      <c r="C12" s="54" t="s">
        <v>68</v>
      </c>
      <c r="D12" s="55">
        <v>1.0</v>
      </c>
      <c r="E12" s="54" t="s">
        <v>81</v>
      </c>
    </row>
  </sheetData>
  <dataValidations>
    <dataValidation type="custom" allowBlank="1" showDropDown="1" sqref="G3:G6 A3:A12">
      <formula1>OR(NOT(ISERROR(DATEVALUE(A3))), AND(ISNUMBER(A3), LEFT(CELL("format", A3))="D"))</formula1>
    </dataValidation>
    <dataValidation type="custom" allowBlank="1" showDropDown="1" sqref="D3:D12">
      <formula1>AND(ISNUMBER(D3),(NOT(OR(NOT(ISERROR(DATEVALUE(D3))), AND(ISNUMBER(D3), LEFT(CELL("format", D3))="D")))))</formula1>
    </dataValidation>
    <dataValidation allowBlank="1" showDropDown="1" sqref="H3:J6 C3:C12 E3:E12"/>
    <dataValidation type="list" allowBlank="1" showErrorMessage="1" sqref="B3:B12">
      <formula1>"Alice,Lilly,Audrey,Heidi,Aayush,Aiman,Zain,Ibaad"</formula1>
    </dataValidation>
  </dataValidations>
  <hyperlinks>
    <hyperlink r:id="rId1" location="heading=h.3uw7lwvkcqs9" ref="I1"/>
    <hyperlink r:id="rId2" ref="I3"/>
    <hyperlink r:id="rId3" ref="I4"/>
    <hyperlink r:id="rId4" ref="I5"/>
    <hyperlink r:id="rId5" ref="I6"/>
  </hyperlinks>
  <drawing r:id="rId6"/>
  <tableParts count="2">
    <tablePart r:id="rId9"/>
    <tablePart r:id="rId1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